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Dropbox\"/>
    </mc:Choice>
  </mc:AlternateContent>
  <xr:revisionPtr revIDLastSave="0" documentId="8_{1F28CD66-22F7-47E3-AC68-DE55FD74F150}" xr6:coauthVersionLast="47" xr6:coauthVersionMax="47" xr10:uidLastSave="{00000000-0000-0000-0000-000000000000}"/>
  <bookViews>
    <workbookView xWindow="-28920" yWindow="-120" windowWidth="29040" windowHeight="16440" activeTab="1" xr2:uid="{D87BE53E-5A30-5E4F-85CE-08F095C82E61}"/>
  </bookViews>
  <sheets>
    <sheet name="Stomme" sheetId="2" r:id="rId1"/>
    <sheet name="Tidskalkyl" sheetId="3" r:id="rId2"/>
    <sheet name="Plocklista" sheetId="5" r:id="rId3"/>
    <sheet name="Sheet1" sheetId="10" r:id="rId4"/>
    <sheet name="Tidrapport" sheetId="6" r:id="rId5"/>
    <sheet name="Prislista" sheetId="9" r:id="rId6"/>
    <sheet name="Fakturor" sheetId="7" r:id="rId7"/>
    <sheet name="Uppföljning" sheetId="8" r:id="rId8"/>
  </sheets>
  <externalReferences>
    <externalReference r:id="rId9"/>
  </externalReferences>
  <definedNames>
    <definedName name="antalTakåsar">Stomme!$L$5</definedName>
    <definedName name="antPunkter">[1]UPPSTÄLLNING!$F$6</definedName>
    <definedName name="areaGavelspetsar">Stomme!$H$14</definedName>
    <definedName name="areaTakåsar">Stomme!$H$15</definedName>
    <definedName name="areaVäggliv">Stomme!$H$13</definedName>
    <definedName name="bredd">Stomme!$D$6</definedName>
    <definedName name="bya">#REF!</definedName>
    <definedName name="golvVal">[1]UPPSTÄLLNING!$D$8</definedName>
    <definedName name="golvValTjk">[1]UPPSTÄLLNING!$F$8</definedName>
    <definedName name="grundVal">[1]UPPSTÄLLNING!$D$6</definedName>
    <definedName name="innerArea">Stomme!$D$21</definedName>
    <definedName name="inpBredd">Stomme!$C$6</definedName>
    <definedName name="inpLängd">Stomme!$C$5</definedName>
    <definedName name="inpTakvinkel">Stomme!$B$9</definedName>
    <definedName name="inpTjocklek">Stomme!$C$7</definedName>
    <definedName name="inpVinkel">Stomme!$C$9</definedName>
    <definedName name="inpVägglivsHöjd">Stomme!$C$8</definedName>
    <definedName name="invGolvarea">#REF!</definedName>
    <definedName name="invTkArea">#REF!</definedName>
    <definedName name="invVäggArea">Stomme!$G$15</definedName>
    <definedName name="knutUtstick">Stomme!$H$7</definedName>
    <definedName name="längd">Stomme!$D$5</definedName>
    <definedName name="längdGolvregel">Stomme!$D$22</definedName>
    <definedName name="mtrlTotPris">[1]MATERIAL!$F$110</definedName>
    <definedName name="rngGolv">[1]!tblGolv[Golv]</definedName>
    <definedName name="rngGolvArt">[1]UPPSTÄLLNING!$AQ$15</definedName>
    <definedName name="rngGrund">[1]!tblGrund[Grund]</definedName>
    <definedName name="rngGrundArt">[1]UPPSTÄLLNING!$AL$15:$AL$16</definedName>
    <definedName name="rngTak">[1]!tblTak[Tak]</definedName>
    <definedName name="rngTakArt">[1]UPPSTÄLLNING!$AY$15:$AY$22</definedName>
    <definedName name="rngVägg">[1]!tblVägg[Vägg]</definedName>
    <definedName name="rngVäggArt">[1]UPPSTÄLLNING!$AU$15:$AU$21</definedName>
    <definedName name="rngYtskiktGolv">[1]!tblYtskiktGolv[YtskiktGolv]</definedName>
    <definedName name="rngYtskiktInnertak">[1]!tblYtskiktInnertak[YtskiktInnertak]</definedName>
    <definedName name="rngYtskiktVägg">[1]!tblYtskiktVägg[YtskiktVägg]</definedName>
    <definedName name="rngYtskiktYttertak">[1]!tblYtskiktYttertak[YtskiktYttertak]</definedName>
    <definedName name="rngYtterTakArt">[1]UPPSTÄLLNING!$BC$18:$BC$30</definedName>
    <definedName name="spillfaktor">Stomme!$H$8</definedName>
    <definedName name="stBredd">#REF!</definedName>
    <definedName name="stLängd">#REF!</definedName>
    <definedName name="takArea">Stomme!$H$24</definedName>
    <definedName name="takbredd">Stomme!$H$22</definedName>
    <definedName name="takfall">Stomme!$H$23</definedName>
    <definedName name="takspill">Stomme!$L$7</definedName>
    <definedName name="takUtstick">Stomme!$L$6</definedName>
    <definedName name="TakVal">[1]UPPSTÄLLNING!$D$12</definedName>
    <definedName name="TakValTjk">[1]UPPSTÄLLNING!$F$12</definedName>
    <definedName name="takVinkel">Stomme!$D$8</definedName>
    <definedName name="TimDeb">[1]Priser!$E$100</definedName>
    <definedName name="TimmerHöjd">Stomme!$H$6</definedName>
    <definedName name="TimmerTjocklek">Stomme!$H$5</definedName>
    <definedName name="totBredd">Stomme!$D$14</definedName>
    <definedName name="totLängd">Stomme!$D$13</definedName>
    <definedName name="totVäggarea">Stomme!$C$17</definedName>
    <definedName name="TsBredd">[1]UPPSTÄLLNING!$L$8</definedName>
    <definedName name="TsLängd">[1]UPPSTÄLLNING!$L$6</definedName>
    <definedName name="TsMellanvägg">[1]UPPSTÄLLNING!$L$14</definedName>
    <definedName name="tTjk">Stomme!$H$5</definedName>
    <definedName name="vägglivshöjd">Stomme!$D$7</definedName>
    <definedName name="VäggVal">[1]UPPSTÄLLNING!$D$10</definedName>
    <definedName name="VäggValTjk">[1]UPPSTÄLLNING!$F$10</definedName>
    <definedName name="ytGolvVal">[1]UPPSTÄLLNING!$D$16</definedName>
    <definedName name="ytInnertakVal">[1]UPPSTÄLLNING!$D$22</definedName>
    <definedName name="ytVäggVal">[1]UPPSTÄLLNING!$D$18</definedName>
    <definedName name="ytYttertakVal">[1]UPPSTÄLLNING!$D$20</definedName>
    <definedName name="åtgång">[1]Priser!#REF!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3" l="1"/>
  <c r="P7" i="3"/>
  <c r="O7" i="3"/>
  <c r="N7" i="3"/>
  <c r="N6" i="3"/>
  <c r="P6" i="3"/>
  <c r="M6" i="3"/>
  <c r="O6" i="3"/>
  <c r="L7" i="3"/>
  <c r="L6" i="3"/>
  <c r="B6" i="5" a="1"/>
  <c r="B6" i="5" s="1"/>
  <c r="A6" i="10" a="1"/>
  <c r="A6" i="10" s="1"/>
  <c r="F6" i="7"/>
  <c r="E6" i="5" a="1"/>
  <c r="E6" i="5" s="1"/>
  <c r="I58" i="3"/>
  <c r="J58" i="3" s="1"/>
  <c r="K58" i="3" s="1"/>
  <c r="G58" i="3"/>
  <c r="J43" i="3"/>
  <c r="J17" i="3"/>
  <c r="J13" i="3"/>
  <c r="I9" i="3"/>
  <c r="J9" i="3" s="1"/>
  <c r="I10" i="3"/>
  <c r="J10" i="3" s="1"/>
  <c r="I11" i="3"/>
  <c r="J11" i="3" s="1"/>
  <c r="I12" i="3"/>
  <c r="J12" i="3" s="1"/>
  <c r="I13" i="3"/>
  <c r="I14" i="3"/>
  <c r="I15" i="3"/>
  <c r="I17" i="3"/>
  <c r="I8" i="3"/>
  <c r="J8" i="3" s="1"/>
  <c r="J14" i="3"/>
  <c r="J15" i="3"/>
  <c r="H21" i="2"/>
  <c r="G50" i="3" s="1"/>
  <c r="I50" i="3" s="1"/>
  <c r="J50" i="3" s="1"/>
  <c r="H22" i="2"/>
  <c r="H23" i="2" s="1"/>
  <c r="G45" i="3" s="1"/>
  <c r="I45" i="3" s="1"/>
  <c r="J45" i="3" s="1"/>
  <c r="E41" i="3"/>
  <c r="E42" i="3"/>
  <c r="D23" i="2"/>
  <c r="D22" i="2"/>
  <c r="E7" i="3" s="1"/>
  <c r="G7" i="3" s="1"/>
  <c r="I7" i="3" s="1"/>
  <c r="J7" i="3" s="1"/>
  <c r="D21" i="2"/>
  <c r="G13" i="3" s="1"/>
  <c r="D15" i="2"/>
  <c r="D14" i="2"/>
  <c r="H14" i="2" s="1"/>
  <c r="D13" i="2"/>
  <c r="H15" i="2" s="1"/>
  <c r="G29" i="3"/>
  <c r="J29" i="3" s="1"/>
  <c r="J30" i="3"/>
  <c r="J31" i="3"/>
  <c r="J32" i="3"/>
  <c r="J33" i="3"/>
  <c r="J34" i="3"/>
  <c r="K50" i="3" l="1"/>
  <c r="K45" i="3"/>
  <c r="G17" i="3"/>
  <c r="G15" i="3"/>
  <c r="G14" i="3"/>
  <c r="G8" i="3"/>
  <c r="G12" i="3"/>
  <c r="G6" i="3"/>
  <c r="I6" i="3" s="1"/>
  <c r="J6" i="3" s="1"/>
  <c r="G9" i="3"/>
  <c r="G10" i="3"/>
  <c r="G11" i="3"/>
  <c r="G16" i="3"/>
  <c r="I16" i="3" s="1"/>
  <c r="J16" i="3" s="1"/>
  <c r="M46" i="3"/>
  <c r="H17" i="2"/>
  <c r="G48" i="3"/>
  <c r="G49" i="3"/>
  <c r="I49" i="3" s="1"/>
  <c r="J49" i="3" s="1"/>
  <c r="G44" i="3"/>
  <c r="G47" i="3"/>
  <c r="H24" i="2"/>
  <c r="G43" i="3"/>
  <c r="K43" i="3" s="1"/>
  <c r="D16" i="2"/>
  <c r="H13" i="2"/>
  <c r="H16" i="2" s="1"/>
  <c r="G22" i="3"/>
  <c r="J22" i="3" s="1"/>
  <c r="G24" i="3"/>
  <c r="J24" i="3" s="1"/>
  <c r="G27" i="3"/>
  <c r="J27" i="3" s="1"/>
  <c r="G26" i="3"/>
  <c r="J26" i="3" s="1"/>
  <c r="G25" i="3"/>
  <c r="J25" i="3" s="1"/>
  <c r="G23" i="3"/>
  <c r="J23" i="3" s="1"/>
  <c r="G21" i="3"/>
  <c r="J21" i="3" s="1"/>
  <c r="G28" i="3"/>
  <c r="J28" i="3" s="1"/>
  <c r="I48" i="3" l="1"/>
  <c r="J48" i="3" s="1"/>
  <c r="K48" i="3" s="1"/>
  <c r="I44" i="3"/>
  <c r="J44" i="3" s="1"/>
  <c r="K44" i="3" s="1"/>
  <c r="I47" i="3"/>
  <c r="J47" i="3" s="1"/>
  <c r="K47" i="3" s="1"/>
  <c r="K6" i="3" a="1"/>
  <c r="K6" i="3" s="1"/>
  <c r="J18" i="3" s="1"/>
  <c r="H18" i="2"/>
  <c r="O14" i="2" s="1"/>
  <c r="K49" i="3"/>
  <c r="G52" i="3"/>
  <c r="I52" i="3" s="1"/>
  <c r="J52" i="3" s="1"/>
  <c r="K52" i="3" s="1"/>
  <c r="H25" i="2"/>
  <c r="G41" i="3" s="1"/>
  <c r="G46" i="3"/>
  <c r="G51" i="3"/>
  <c r="I51" i="3" s="1"/>
  <c r="J51" i="3" s="1"/>
  <c r="K51" i="3" s="1"/>
  <c r="K21" i="3" a="1"/>
  <c r="K21" i="3" s="1"/>
  <c r="J35" i="3" s="1"/>
  <c r="I46" i="3" l="1"/>
  <c r="J46" i="3" s="1"/>
  <c r="K46" i="3" s="1"/>
  <c r="I41" i="3"/>
  <c r="J41" i="3" s="1"/>
  <c r="K41" i="3" s="1"/>
  <c r="O15" i="2"/>
  <c r="O16" i="2" s="1"/>
  <c r="L13" i="2"/>
  <c r="G40" i="3"/>
  <c r="G39" i="3"/>
  <c r="G42" i="3"/>
  <c r="O19" i="2"/>
  <c r="I40" i="3" l="1"/>
  <c r="J40" i="3" s="1"/>
  <c r="K40" i="3" s="1"/>
  <c r="I42" i="3"/>
  <c r="J42" i="3" s="1"/>
  <c r="K42" i="3" s="1"/>
  <c r="I39" i="3"/>
  <c r="B6" i="10" s="1" a="1"/>
  <c r="B6" i="10" s="1"/>
  <c r="O13" i="2"/>
  <c r="J39" i="3" l="1"/>
  <c r="K39" i="3" s="1"/>
  <c r="J53" i="3" s="1"/>
  <c r="D6" i="5" a="1"/>
  <c r="D6" i="5" s="1"/>
  <c r="O1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<sst xmlns="http://schemas.openxmlformats.org/spreadsheetml/2006/main" count="205" uniqueCount="135">
  <si>
    <t>Aktivitet</t>
  </si>
  <si>
    <t>Enhet</t>
  </si>
  <si>
    <t>Mängd</t>
  </si>
  <si>
    <t>Enhetstid</t>
  </si>
  <si>
    <t>m2</t>
  </si>
  <si>
    <t>Mängd/m2</t>
  </si>
  <si>
    <t>Golvreglar 45x145-220</t>
  </si>
  <si>
    <t>Trossbottenbräda 22x95</t>
  </si>
  <si>
    <t>Trossbottenskiva 0,72m2/skiva</t>
  </si>
  <si>
    <t xml:space="preserve">GOLV </t>
  </si>
  <si>
    <t>Isolering skivor</t>
  </si>
  <si>
    <t>Parkett 14mm klicktyp</t>
  </si>
  <si>
    <t>Trossbottenpapp vindpapp exkl. klämlist</t>
  </si>
  <si>
    <t>Klämlist 15x15mm</t>
  </si>
  <si>
    <t>Spånskivegolv 22mm 600x2420 limmat</t>
  </si>
  <si>
    <t>Trägolv 25x165</t>
  </si>
  <si>
    <t>Summa tid:</t>
  </si>
  <si>
    <t>lm</t>
  </si>
  <si>
    <t>Bredd</t>
  </si>
  <si>
    <t>Trallgolv 120mm 9,52m/m2</t>
  </si>
  <si>
    <t>Taklutning</t>
  </si>
  <si>
    <t>VÄGGREGELSTOMME</t>
  </si>
  <si>
    <t>Spikläkt utsida 34x70</t>
  </si>
  <si>
    <t>Utvändig gips</t>
  </si>
  <si>
    <t>Västkustskiva</t>
  </si>
  <si>
    <t>Isolering 145-195</t>
  </si>
  <si>
    <t>Längd</t>
  </si>
  <si>
    <t>Stödregel 45x45</t>
  </si>
  <si>
    <t>Ytterpanel</t>
  </si>
  <si>
    <t>Vindpapp</t>
  </si>
  <si>
    <t>Regelstomme 45x145-195</t>
  </si>
  <si>
    <t>Ångbroms</t>
  </si>
  <si>
    <t>Installationsläkt 45x45</t>
  </si>
  <si>
    <t>Träpanel 15x95</t>
  </si>
  <si>
    <t>Träpanel 15x120</t>
  </si>
  <si>
    <t>Träpanel övrig</t>
  </si>
  <si>
    <t>Plywood 1200mm 12-15mm</t>
  </si>
  <si>
    <t>Gips 900x2500X</t>
  </si>
  <si>
    <t>Hus dimensioner</t>
  </si>
  <si>
    <t>Timmer</t>
  </si>
  <si>
    <t>Tak</t>
  </si>
  <si>
    <t>Tjocklek</t>
  </si>
  <si>
    <t>Ant. takåsar</t>
  </si>
  <si>
    <t>Inköp timmer</t>
  </si>
  <si>
    <t>Höjd</t>
  </si>
  <si>
    <t>Takutstick</t>
  </si>
  <si>
    <t>Väggliv</t>
  </si>
  <si>
    <t>Knututstick</t>
  </si>
  <si>
    <t>Arbetstid/m2/h</t>
  </si>
  <si>
    <t>Spill</t>
  </si>
  <si>
    <t>Extra kostnader</t>
  </si>
  <si>
    <t>Mellanvägg</t>
  </si>
  <si>
    <t>Timdebitering</t>
  </si>
  <si>
    <t>Husdata</t>
  </si>
  <si>
    <t>Materialåtgång</t>
  </si>
  <si>
    <t>Priser</t>
  </si>
  <si>
    <t>Tot längd</t>
  </si>
  <si>
    <t>Area till väggliv</t>
  </si>
  <si>
    <t>Inköpskostnad</t>
  </si>
  <si>
    <t>Tot bredd</t>
  </si>
  <si>
    <t>Area gavelspets</t>
  </si>
  <si>
    <t xml:space="preserve">Utpris </t>
  </si>
  <si>
    <t>Timmer per m2</t>
  </si>
  <si>
    <t>Area takåsar</t>
  </si>
  <si>
    <t>Gavelhöjd</t>
  </si>
  <si>
    <t>Arbetskostnad</t>
  </si>
  <si>
    <t>Avans</t>
  </si>
  <si>
    <t>Total Väggarea</t>
  </si>
  <si>
    <t>Pris inkl moms</t>
  </si>
  <si>
    <t>Väggareor</t>
  </si>
  <si>
    <t>Golvdata</t>
  </si>
  <si>
    <t>Takdata</t>
  </si>
  <si>
    <t>Innerarea</t>
  </si>
  <si>
    <t>Längd Golvregel</t>
  </si>
  <si>
    <t>Trallgolv 145mm 7,56m/m2</t>
  </si>
  <si>
    <t>Tidsåtgång</t>
  </si>
  <si>
    <t>Taklängd</t>
  </si>
  <si>
    <t>Takbredd</t>
  </si>
  <si>
    <t>Takfall(en sida)</t>
  </si>
  <si>
    <t>Takarea (total)</t>
  </si>
  <si>
    <t>Takyta med spill</t>
  </si>
  <si>
    <t>Takspill</t>
  </si>
  <si>
    <t>Meter timmer</t>
  </si>
  <si>
    <t xml:space="preserve">Antal golvreglar </t>
  </si>
  <si>
    <t>TAK</t>
  </si>
  <si>
    <t>Vindskiveregel 45x45</t>
  </si>
  <si>
    <t>Takplåt</t>
  </si>
  <si>
    <t>Fotplåt</t>
  </si>
  <si>
    <t>Vindskiveplåt</t>
  </si>
  <si>
    <t>Nockplåt</t>
  </si>
  <si>
    <t>Tätband</t>
  </si>
  <si>
    <t>st</t>
  </si>
  <si>
    <t>Underlagspapp 25x1m</t>
  </si>
  <si>
    <t>Ströläkt 12x50 c/c 0,6</t>
  </si>
  <si>
    <t>Bärläkt 28x70 c/c 0,5</t>
  </si>
  <si>
    <t>Vindskivor 22x145</t>
  </si>
  <si>
    <t>Bärläktsskruv 35mm</t>
  </si>
  <si>
    <t>överlappsskruv 20mm</t>
  </si>
  <si>
    <t xml:space="preserve"> </t>
  </si>
  <si>
    <t>Utpris timmer(m2)</t>
  </si>
  <si>
    <t>Arbetstid</t>
  </si>
  <si>
    <t>(mm)</t>
  </si>
  <si>
    <t>(mm / m2)</t>
  </si>
  <si>
    <t>(lm)</t>
  </si>
  <si>
    <t>Företag</t>
  </si>
  <si>
    <t>Använd</t>
  </si>
  <si>
    <t>Överskriven</t>
  </si>
  <si>
    <t>Plocklista</t>
  </si>
  <si>
    <t>Projekt:</t>
  </si>
  <si>
    <t>Ulf Nilsson</t>
  </si>
  <si>
    <t>GRUND</t>
  </si>
  <si>
    <t>Betongsten 400x400x100</t>
  </si>
  <si>
    <t>rul</t>
  </si>
  <si>
    <t>Takfotsbräda 22x145</t>
  </si>
  <si>
    <t>45x170 impregnerad</t>
  </si>
  <si>
    <t>Råspontslucka</t>
  </si>
  <si>
    <t>Notering</t>
  </si>
  <si>
    <t>Artikel</t>
  </si>
  <si>
    <t>12 st 2m TP20</t>
  </si>
  <si>
    <t>45x45 impregnerad</t>
  </si>
  <si>
    <t>Datum</t>
  </si>
  <si>
    <t>Tid</t>
  </si>
  <si>
    <t>tim</t>
  </si>
  <si>
    <t>Grundstenar, 1a varv</t>
  </si>
  <si>
    <t>Golvbjälkar</t>
  </si>
  <si>
    <t>Trallgolv och bärlina</t>
  </si>
  <si>
    <t>Material</t>
  </si>
  <si>
    <t>Antal</t>
  </si>
  <si>
    <t>st pris</t>
  </si>
  <si>
    <t>Totalt</t>
  </si>
  <si>
    <t>Kalkulerat</t>
  </si>
  <si>
    <t>REGEL IMP AB 45X95X4800 C24</t>
  </si>
  <si>
    <t>BETONGPLATTA 40X40X10 38,4KG</t>
  </si>
  <si>
    <t>KBYGG</t>
  </si>
  <si>
    <t>Kostnader/Inköp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</si>
</sst>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]hh:mm;@" x16r2:formatCode16="[$-en-SE,1]hh:mm;@"/>
    <numFmt numFmtId="165" formatCode="0.0"/>
    <numFmt numFmtId="166" formatCode="[h]:mm;@"/>
  </numFmts>
  <fonts count="20" x14ac:knownFonts="1">
    <font>
      <sz val="12"/>
      <color theme="1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0"/>
      <color rgb="FF3F3F3F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2"/>
      <color theme="1"/>
      <name val="Inter"/>
    </font>
    <font>
      <sz val="11"/>
      <color rgb="FF3F3F76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6"/>
      <color theme="1"/>
      <name val="Aptos Display"/>
      <family val="2"/>
      <scheme val="major"/>
    </font>
    <font>
      <sz val="7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theme="9" tint="-0.24997711111789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/>
      <bottom style="thin">
        <color indexed="64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14" fillId="6" borderId="7" applyNumberFormat="0" applyAlignment="0" applyProtection="0"/>
  </cellStyleXfs>
  <cellXfs count="59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4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4" xfId="0" applyFont="1" applyBorder="1"/>
    <xf numFmtId="164" fontId="8" fillId="0" borderId="0" xfId="0" applyNumberFormat="1" applyFont="1" applyAlignment="1">
      <alignment horizontal="center"/>
    </xf>
    <xf numFmtId="164" fontId="8" fillId="0" borderId="0" xfId="0" applyNumberFormat="1" applyFont="1"/>
    <xf numFmtId="166" fontId="7" fillId="0" borderId="3" xfId="0" applyNumberFormat="1" applyFont="1" applyBorder="1"/>
    <xf numFmtId="164" fontId="7" fillId="0" borderId="0" xfId="0" applyNumberFormat="1" applyFont="1"/>
    <xf numFmtId="166" fontId="7" fillId="0" borderId="0" xfId="0" applyNumberFormat="1" applyFont="1"/>
    <xf numFmtId="0" fontId="7" fillId="0" borderId="3" xfId="0" applyFont="1" applyBorder="1"/>
    <xf numFmtId="0" fontId="11" fillId="0" borderId="0" xfId="1" applyFont="1" applyFill="1" applyBorder="1"/>
    <xf numFmtId="165" fontId="7" fillId="3" borderId="2" xfId="1" applyNumberFormat="1" applyFont="1" applyFill="1" applyBorder="1"/>
    <xf numFmtId="0" fontId="8" fillId="3" borderId="2" xfId="0" applyFont="1" applyFill="1" applyBorder="1"/>
    <xf numFmtId="0" fontId="12" fillId="0" borderId="4" xfId="0" applyFont="1" applyBorder="1"/>
    <xf numFmtId="0" fontId="12" fillId="0" borderId="3" xfId="0" applyFont="1" applyBorder="1"/>
    <xf numFmtId="166" fontId="7" fillId="0" borderId="3" xfId="0" applyNumberFormat="1" applyFont="1" applyBorder="1" applyAlignment="1">
      <alignment horizontal="center" vertical="center"/>
    </xf>
    <xf numFmtId="0" fontId="13" fillId="0" borderId="0" xfId="0" applyFont="1"/>
    <xf numFmtId="1" fontId="0" fillId="0" borderId="0" xfId="0" applyNumberFormat="1"/>
    <xf numFmtId="165" fontId="7" fillId="3" borderId="0" xfId="1" applyNumberFormat="1" applyFont="1" applyFill="1" applyBorder="1"/>
    <xf numFmtId="0" fontId="8" fillId="3" borderId="0" xfId="0" applyFont="1" applyFill="1"/>
    <xf numFmtId="165" fontId="10" fillId="0" borderId="0" xfId="1" applyNumberFormat="1" applyFont="1" applyFill="1" applyBorder="1"/>
    <xf numFmtId="165" fontId="14" fillId="6" borderId="2" xfId="2" applyNumberFormat="1" applyBorder="1"/>
    <xf numFmtId="165" fontId="10" fillId="2" borderId="8" xfId="1" applyNumberFormat="1" applyFont="1" applyBorder="1"/>
    <xf numFmtId="1" fontId="10" fillId="0" borderId="0" xfId="1" applyNumberFormat="1" applyFont="1" applyFill="1" applyBorder="1" applyAlignment="1">
      <alignment horizontal="right"/>
    </xf>
    <xf numFmtId="0" fontId="7" fillId="0" borderId="0" xfId="0" quotePrefix="1" applyFont="1" applyAlignment="1">
      <alignment horizontal="right"/>
    </xf>
    <xf numFmtId="1" fontId="7" fillId="0" borderId="0" xfId="0" applyNumberFormat="1" applyFont="1"/>
    <xf numFmtId="1" fontId="14" fillId="6" borderId="7" xfId="2" applyNumberFormat="1" applyAlignment="1">
      <alignment horizontal="right"/>
    </xf>
    <xf numFmtId="0" fontId="14" fillId="6" borderId="7" xfId="2" quotePrefix="1" applyAlignment="1">
      <alignment horizontal="right"/>
    </xf>
    <xf numFmtId="1" fontId="14" fillId="6" borderId="7" xfId="2" applyNumberFormat="1"/>
    <xf numFmtId="0" fontId="14" fillId="6" borderId="7" xfId="2"/>
    <xf numFmtId="1" fontId="10" fillId="7" borderId="9" xfId="1" applyNumberFormat="1" applyFont="1" applyFill="1" applyBorder="1" applyAlignment="1">
      <alignment horizontal="right"/>
    </xf>
    <xf numFmtId="1" fontId="10" fillId="7" borderId="10" xfId="1" applyNumberFormat="1" applyFont="1" applyFill="1" applyBorder="1" applyAlignment="1">
      <alignment horizontal="right"/>
    </xf>
    <xf numFmtId="0" fontId="3" fillId="0" borderId="4" xfId="0" applyFont="1" applyBorder="1"/>
    <xf numFmtId="0" fontId="15" fillId="0" borderId="4" xfId="0" applyFont="1" applyBorder="1"/>
    <xf numFmtId="0" fontId="16" fillId="0" borderId="4" xfId="0" applyFont="1" applyBorder="1"/>
    <xf numFmtId="0" fontId="17" fillId="0" borderId="4" xfId="0" applyFont="1" applyBorder="1" applyAlignment="1">
      <alignment horizontal="right"/>
    </xf>
    <xf numFmtId="0" fontId="16" fillId="0" borderId="0" xfId="0" applyFont="1"/>
    <xf numFmtId="0" fontId="18" fillId="0" borderId="4" xfId="0" applyFont="1" applyBorder="1" applyAlignment="1">
      <alignment horizontal="right"/>
    </xf>
    <xf numFmtId="0" fontId="19" fillId="0" borderId="0" xfId="0" applyFont="1"/>
    <xf numFmtId="1" fontId="15" fillId="4" borderId="5" xfId="0" applyNumberFormat="1" applyFont="1" applyFill="1" applyBorder="1"/>
    <xf numFmtId="0" fontId="15" fillId="5" borderId="5" xfId="0" applyFont="1" applyFill="1" applyBorder="1"/>
    <xf numFmtId="9" fontId="15" fillId="0" borderId="0" xfId="0" applyNumberFormat="1" applyFont="1"/>
    <xf numFmtId="0" fontId="19" fillId="0" borderId="6" xfId="0" applyFont="1" applyBorder="1"/>
    <xf numFmtId="0" fontId="16" fillId="0" borderId="6" xfId="0" applyFont="1" applyBorder="1"/>
    <xf numFmtId="2" fontId="19" fillId="0" borderId="0" xfId="0" applyNumberFormat="1" applyFont="1"/>
    <xf numFmtId="1" fontId="19" fillId="0" borderId="0" xfId="0" applyNumberFormat="1" applyFont="1"/>
    <xf numFmtId="165" fontId="19" fillId="0" borderId="0" xfId="0" applyNumberFormat="1" applyFont="1"/>
    <xf numFmtId="0" fontId="15" fillId="0" borderId="0" xfId="0" applyFont="1"/>
    <xf numFmtId="1" fontId="15" fillId="0" borderId="0" xfId="0" applyNumberFormat="1" applyFont="1"/>
    <xf numFmtId="0" fontId="19" fillId="0" borderId="4" xfId="0" applyFont="1" applyBorder="1"/>
    <xf numFmtId="165" fontId="10" fillId="2" borderId="2" xfId="1" applyNumberFormat="1" applyFont="1" applyBorder="1"/>
    <xf numFmtId="1" fontId="8" fillId="0" borderId="0" xfId="0" applyNumberFormat="1" applyFont="1" applyAlignment="1">
      <alignment horizontal="right"/>
    </xf>
  </cellXfs>
  <cellStyles count="3">
    <cellStyle name="Input" xfId="2" builtinId="20"/>
    <cellStyle name="Normal" xfId="0" builtinId="0"/>
    <cellStyle name="Output" xfId="1" builtinId="21"/>
  </cellStyles>
  <dxfs count="6">
    <dxf>
      <font>
        <strike/>
        <color theme="0" tint="-0.24994659260841701"/>
      </font>
    </dxf>
    <dxf>
      <font>
        <strike/>
        <color theme="0" tint="-0.24994659260841701"/>
      </font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FFE5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06/relationships/rdRichValue" Target="richData/rdrichvalue.xml"/></Relationships>
</file>

<file path=xl/ctrlProps/ctrlProp1.xml><?xml version="1.0" encoding="utf-8"?>
<formControlPr xmlns="http://schemas.microsoft.com/office/spreadsheetml/2009/9/main" objectType="CheckBox" checked="Checked" fmlaLink="B6" lockText="1" noThreeD="1"/>
</file>

<file path=xl/ctrlProps/ctrlProp2.xml><?xml version="1.0" encoding="utf-8"?>
<formControlPr xmlns="http://schemas.microsoft.com/office/spreadsheetml/2009/9/main" objectType="CheckBox" checked="Checked" fmlaLink="B7" lockText="1" noThreeD="1"/>
</file>

<file path=xl/ctrlProps/ctrlProp3.xml><?xml version="1.0" encoding="utf-8"?>
<formControlPr xmlns="http://schemas.microsoft.com/office/spreadsheetml/2009/9/main" objectType="CheckBox" fmlaLink="B9" lockText="1" noThreeD="1"/>
</file>

<file path=xl/ctrlProps/ctrlProp4.xml><?xml version="1.0" encoding="utf-8"?>
<formControlPr xmlns="http://schemas.microsoft.com/office/spreadsheetml/2009/9/main" objectType="CheckBox" fmlaLink="B10" lockText="1" noThreeD="1"/>
</file>

<file path=xl/ctrlProps/ctrlProp5.xml><?xml version="1.0" encoding="utf-8"?>
<formControlPr xmlns="http://schemas.microsoft.com/office/spreadsheetml/2009/9/main" objectType="CheckBox" fmlaLink="B11" lockText="1" noThreeD="1"/>
</file>

<file path=xl/ctrlProps/ctrlProp6.xml><?xml version="1.0" encoding="utf-8"?>
<formControlPr xmlns="http://schemas.microsoft.com/office/spreadsheetml/2009/9/main" objectType="CheckBox" fmlaLink="B12" lockText="1" noThreeD="1"/>
</file>

<file path=xl/ctrlProps/ctrlProp7.xml><?xml version="1.0" encoding="utf-8"?>
<formControlPr xmlns="http://schemas.microsoft.com/office/spreadsheetml/2009/9/main" objectType="CheckBox" fmlaLink="B13" lockText="1" noThreeD="1"/>
</file>

<file path=xl/ctrlProps/ctrlProp8.xml><?xml version="1.0" encoding="utf-8"?>
<formControlPr xmlns="http://schemas.microsoft.com/office/spreadsheetml/2009/9/main" objectType="CheckBox" fmlaLink="B14" lockText="1" noThreeD="1"/>
</file>

<file path=xl/ctrlProps/ctrlProp9.xml><?xml version="1.0" encoding="utf-8"?>
<formControlPr xmlns="http://schemas.microsoft.com/office/spreadsheetml/2009/9/main" objectType="CheckBox" fmlaLink="B15" lockText="1" noThreeD="1"/>
</file>

<file path=xl/ctrlProps/ctrlProp10.xml><?xml version="1.0" encoding="utf-8"?>
<formControlPr xmlns="http://schemas.microsoft.com/office/spreadsheetml/2009/9/main" objectType="CheckBox" checked="Checked" fmlaLink="B16" lockText="1" noThreeD="1"/>
</file>

<file path=xl/ctrlProps/ctrlProp11.xml><?xml version="1.0" encoding="utf-8"?>
<formControlPr xmlns="http://schemas.microsoft.com/office/spreadsheetml/2009/9/main" objectType="CheckBox" fmlaLink="B8" lockText="1" noThreeD="1"/>
</file>

<file path=xl/ctrlProps/ctrlProp12.xml><?xml version="1.0" encoding="utf-8"?>
<formControlPr xmlns="http://schemas.microsoft.com/office/spreadsheetml/2009/9/main" objectType="CheckBox" fmlaLink="B21" lockText="1" noThreeD="1"/>
</file>

<file path=xl/ctrlProps/ctrlProp13.xml><?xml version="1.0" encoding="utf-8"?>
<formControlPr xmlns="http://schemas.microsoft.com/office/spreadsheetml/2009/9/main" objectType="CheckBox" fmlaLink="B22" lockText="1" noThreeD="1"/>
</file>

<file path=xl/ctrlProps/ctrlProp14.xml><?xml version="1.0" encoding="utf-8"?>
<formControlPr xmlns="http://schemas.microsoft.com/office/spreadsheetml/2009/9/main" objectType="CheckBox" fmlaLink="B23" noThreeD="1"/>
</file>

<file path=xl/ctrlProps/ctrlProp15.xml><?xml version="1.0" encoding="utf-8"?>
<formControlPr xmlns="http://schemas.microsoft.com/office/spreadsheetml/2009/9/main" objectType="CheckBox" fmlaLink="B24" lockText="1" noThreeD="1"/>
</file>

<file path=xl/ctrlProps/ctrlProp16.xml><?xml version="1.0" encoding="utf-8"?>
<formControlPr xmlns="http://schemas.microsoft.com/office/spreadsheetml/2009/9/main" objectType="CheckBox" fmlaLink="B25" lockText="1" noThreeD="1"/>
</file>

<file path=xl/ctrlProps/ctrlProp17.xml><?xml version="1.0" encoding="utf-8"?>
<formControlPr xmlns="http://schemas.microsoft.com/office/spreadsheetml/2009/9/main" objectType="CheckBox" fmlaLink="B26" lockText="1" noThreeD="1"/>
</file>

<file path=xl/ctrlProps/ctrlProp18.xml><?xml version="1.0" encoding="utf-8"?>
<formControlPr xmlns="http://schemas.microsoft.com/office/spreadsheetml/2009/9/main" objectType="CheckBox" fmlaLink="B27" lockText="1" noThreeD="1"/>
</file>

<file path=xl/ctrlProps/ctrlProp19.xml><?xml version="1.0" encoding="utf-8"?>
<formControlPr xmlns="http://schemas.microsoft.com/office/spreadsheetml/2009/9/main" objectType="CheckBox" fmlaLink="B29" lockText="1" noThreeD="1"/>
</file>

<file path=xl/ctrlProps/ctrlProp20.xml><?xml version="1.0" encoding="utf-8"?>
<formControlPr xmlns="http://schemas.microsoft.com/office/spreadsheetml/2009/9/main" objectType="CheckBox" fmlaLink="B28" lockText="1" noThreeD="1"/>
</file>

<file path=xl/ctrlProps/ctrlProp21.xml><?xml version="1.0" encoding="utf-8"?>
<formControlPr xmlns="http://schemas.microsoft.com/office/spreadsheetml/2009/9/main" objectType="CheckBox" fmlaLink="B31" lockText="1" noThreeD="1"/>
</file>

<file path=xl/ctrlProps/ctrlProp22.xml><?xml version="1.0" encoding="utf-8"?>
<formControlPr xmlns="http://schemas.microsoft.com/office/spreadsheetml/2009/9/main" objectType="CheckBox" fmlaLink="B30" lockText="1" noThreeD="1"/>
</file>

<file path=xl/ctrlProps/ctrlProp23.xml><?xml version="1.0" encoding="utf-8"?>
<formControlPr xmlns="http://schemas.microsoft.com/office/spreadsheetml/2009/9/main" objectType="CheckBox" fmlaLink="B32" lockText="1" noThreeD="1"/>
</file>

<file path=xl/ctrlProps/ctrlProp24.xml><?xml version="1.0" encoding="utf-8"?>
<formControlPr xmlns="http://schemas.microsoft.com/office/spreadsheetml/2009/9/main" objectType="CheckBox" fmlaLink="B33" lockText="1" noThreeD="1"/>
</file>

<file path=xl/ctrlProps/ctrlProp25.xml><?xml version="1.0" encoding="utf-8"?>
<formControlPr xmlns="http://schemas.microsoft.com/office/spreadsheetml/2009/9/main" objectType="CheckBox" fmlaLink="B34" lockText="1" noThreeD="1"/>
</file>

<file path=xl/ctrlProps/ctrlProp26.xml><?xml version="1.0" encoding="utf-8"?>
<formControlPr xmlns="http://schemas.microsoft.com/office/spreadsheetml/2009/9/main" objectType="CheckBox" fmlaLink="B17" lockText="1" noThreeD="1"/>
</file>

<file path=xl/ctrlProps/ctrlProp27.xml><?xml version="1.0" encoding="utf-8"?>
<formControlPr xmlns="http://schemas.microsoft.com/office/spreadsheetml/2009/9/main" objectType="CheckBox" checked="Checked" fmlaLink="B40" lockText="1" noThreeD="1"/>
</file>

<file path=xl/ctrlProps/ctrlProp28.xml><?xml version="1.0" encoding="utf-8"?>
<formControlPr xmlns="http://schemas.microsoft.com/office/spreadsheetml/2009/9/main" objectType="CheckBox" checked="Checked" fmlaLink="B41" lockText="1" noThreeD="1"/>
</file>

<file path=xl/ctrlProps/ctrlProp29.xml><?xml version="1.0" encoding="utf-8"?>
<formControlPr xmlns="http://schemas.microsoft.com/office/spreadsheetml/2009/9/main" objectType="CheckBox" checked="Checked" fmlaLink="B42" lockText="1" noThreeD="1"/>
</file>

<file path=xl/ctrlProps/ctrlProp30.xml><?xml version="1.0" encoding="utf-8"?>
<formControlPr xmlns="http://schemas.microsoft.com/office/spreadsheetml/2009/9/main" objectType="CheckBox" checked="Checked" fmlaLink="B43" lockText="1" noThreeD="1"/>
</file>

<file path=xl/ctrlProps/ctrlProp31.xml><?xml version="1.0" encoding="utf-8"?>
<formControlPr xmlns="http://schemas.microsoft.com/office/spreadsheetml/2009/9/main" objectType="CheckBox" checked="Checked" fmlaLink="B44" lockText="1" noThreeD="1"/>
</file>

<file path=xl/ctrlProps/ctrlProp32.xml><?xml version="1.0" encoding="utf-8"?>
<formControlPr xmlns="http://schemas.microsoft.com/office/spreadsheetml/2009/9/main" objectType="CheckBox" checked="Checked" fmlaLink="B45" lockText="1" noThreeD="1"/>
</file>

<file path=xl/ctrlProps/ctrlProp33.xml><?xml version="1.0" encoding="utf-8"?>
<formControlPr xmlns="http://schemas.microsoft.com/office/spreadsheetml/2009/9/main" objectType="CheckBox" checked="Checked" fmlaLink="B46" lockText="1" noThreeD="1"/>
</file>

<file path=xl/ctrlProps/ctrlProp34.xml><?xml version="1.0" encoding="utf-8"?>
<formControlPr xmlns="http://schemas.microsoft.com/office/spreadsheetml/2009/9/main" objectType="CheckBox" checked="Checked" fmlaLink="B47" lockText="1" noThreeD="1"/>
</file>

<file path=xl/ctrlProps/ctrlProp35.xml><?xml version="1.0" encoding="utf-8"?>
<formControlPr xmlns="http://schemas.microsoft.com/office/spreadsheetml/2009/9/main" objectType="CheckBox" checked="Checked" fmlaLink="B48" lockText="1" noThreeD="1"/>
</file>

<file path=xl/ctrlProps/ctrlProp36.xml><?xml version="1.0" encoding="utf-8"?>
<formControlPr xmlns="http://schemas.microsoft.com/office/spreadsheetml/2009/9/main" objectType="CheckBox" checked="Checked" fmlaLink="B49" lockText="1" noThreeD="1"/>
</file>

<file path=xl/ctrlProps/ctrlProp37.xml><?xml version="1.0" encoding="utf-8"?>
<formControlPr xmlns="http://schemas.microsoft.com/office/spreadsheetml/2009/9/main" objectType="CheckBox" checked="Checked" fmlaLink="B50" lockText="1" noThreeD="1"/>
</file>

<file path=xl/ctrlProps/ctrlProp38.xml><?xml version="1.0" encoding="utf-8"?>
<formControlPr xmlns="http://schemas.microsoft.com/office/spreadsheetml/2009/9/main" objectType="CheckBox" checked="Checked" fmlaLink="B39" lockText="1" noThreeD="1"/>
</file>

<file path=xl/ctrlProps/ctrlProp39.xml><?xml version="1.0" encoding="utf-8"?>
<formControlPr xmlns="http://schemas.microsoft.com/office/spreadsheetml/2009/9/main" objectType="CheckBox" checked="Checked" fmlaLink="B51" lockText="1" noThreeD="1"/>
</file>

<file path=xl/ctrlProps/ctrlProp40.xml><?xml version="1.0" encoding="utf-8"?>
<formControlPr xmlns="http://schemas.microsoft.com/office/spreadsheetml/2009/9/main" objectType="CheckBox" checked="Checked" fmlaLink="B52" lockText="1" noThreeD="1"/>
</file>

<file path=xl/ctrlProps/ctrlProp41.xml><?xml version="1.0" encoding="utf-8"?>
<formControlPr xmlns="http://schemas.microsoft.com/office/spreadsheetml/2009/9/main" objectType="CheckBox" checked="Checked" fmlaLink="B58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108857</xdr:rowOff>
        </xdr:from>
        <xdr:to>
          <xdr:col>2</xdr:col>
          <xdr:colOff>88437</xdr:colOff>
          <xdr:row>6</xdr:row>
          <xdr:rowOff>133350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114300</xdr:rowOff>
        </xdr:from>
        <xdr:to>
          <xdr:col>2</xdr:col>
          <xdr:colOff>88437</xdr:colOff>
          <xdr:row>7</xdr:row>
          <xdr:rowOff>57150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141514</xdr:rowOff>
        </xdr:from>
        <xdr:to>
          <xdr:col>2</xdr:col>
          <xdr:colOff>88437</xdr:colOff>
          <xdr:row>9</xdr:row>
          <xdr:rowOff>19050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81643</xdr:colOff>
          <xdr:row>9</xdr:row>
          <xdr:rowOff>5443</xdr:rowOff>
        </xdr:from>
        <xdr:to>
          <xdr:col>2</xdr:col>
          <xdr:colOff>88437</xdr:colOff>
          <xdr:row>9</xdr:row>
          <xdr:rowOff>152400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114300</xdr:rowOff>
        </xdr:from>
        <xdr:to>
          <xdr:col>2</xdr:col>
          <xdr:colOff>88437</xdr:colOff>
          <xdr:row>11</xdr:row>
          <xdr:rowOff>50337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5443</xdr:colOff>
          <xdr:row>10</xdr:row>
          <xdr:rowOff>119743</xdr:rowOff>
        </xdr:from>
        <xdr:to>
          <xdr:col>2</xdr:col>
          <xdr:colOff>88437</xdr:colOff>
          <xdr:row>12</xdr:row>
          <xdr:rowOff>57150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5443</xdr:colOff>
          <xdr:row>11</xdr:row>
          <xdr:rowOff>157843</xdr:rowOff>
        </xdr:from>
        <xdr:to>
          <xdr:col>2</xdr:col>
          <xdr:colOff>88437</xdr:colOff>
          <xdr:row>13</xdr:row>
          <xdr:rowOff>19050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5443</xdr:colOff>
          <xdr:row>12</xdr:row>
          <xdr:rowOff>157843</xdr:rowOff>
        </xdr:from>
        <xdr:to>
          <xdr:col>2</xdr:col>
          <xdr:colOff>88437</xdr:colOff>
          <xdr:row>14</xdr:row>
          <xdr:rowOff>19050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5443</xdr:colOff>
          <xdr:row>13</xdr:row>
          <xdr:rowOff>152400</xdr:rowOff>
        </xdr:from>
        <xdr:to>
          <xdr:col>2</xdr:col>
          <xdr:colOff>88437</xdr:colOff>
          <xdr:row>15</xdr:row>
          <xdr:rowOff>19050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5443</xdr:colOff>
          <xdr:row>14</xdr:row>
          <xdr:rowOff>125186</xdr:rowOff>
        </xdr:from>
        <xdr:to>
          <xdr:col>2</xdr:col>
          <xdr:colOff>88437</xdr:colOff>
          <xdr:row>16</xdr:row>
          <xdr:rowOff>57150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125186</xdr:rowOff>
        </xdr:from>
        <xdr:to>
          <xdr:col>2</xdr:col>
          <xdr:colOff>88437</xdr:colOff>
          <xdr:row>8</xdr:row>
          <xdr:rowOff>38100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136071</xdr:rowOff>
        </xdr:from>
        <xdr:to>
          <xdr:col>2</xdr:col>
          <xdr:colOff>88437</xdr:colOff>
          <xdr:row>21</xdr:row>
          <xdr:rowOff>50337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146957</xdr:rowOff>
        </xdr:from>
        <xdr:to>
          <xdr:col>2</xdr:col>
          <xdr:colOff>88437</xdr:colOff>
          <xdr:row>22</xdr:row>
          <xdr:rowOff>19050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157843</xdr:rowOff>
        </xdr:from>
        <xdr:to>
          <xdr:col>2</xdr:col>
          <xdr:colOff>88437</xdr:colOff>
          <xdr:row>23</xdr:row>
          <xdr:rowOff>19050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23</xdr:row>
          <xdr:rowOff>16329</xdr:rowOff>
        </xdr:from>
        <xdr:to>
          <xdr:col>2</xdr:col>
          <xdr:colOff>76200</xdr:colOff>
          <xdr:row>24</xdr:row>
          <xdr:rowOff>1905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24</xdr:row>
          <xdr:rowOff>5443</xdr:rowOff>
        </xdr:from>
        <xdr:to>
          <xdr:col>2</xdr:col>
          <xdr:colOff>76200</xdr:colOff>
          <xdr:row>25</xdr:row>
          <xdr:rowOff>1905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24</xdr:row>
          <xdr:rowOff>130629</xdr:rowOff>
        </xdr:from>
        <xdr:to>
          <xdr:col>2</xdr:col>
          <xdr:colOff>76200</xdr:colOff>
          <xdr:row>26</xdr:row>
          <xdr:rowOff>50337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25</xdr:row>
          <xdr:rowOff>152400</xdr:rowOff>
        </xdr:from>
        <xdr:to>
          <xdr:col>2</xdr:col>
          <xdr:colOff>76200</xdr:colOff>
          <xdr:row>27</xdr:row>
          <xdr:rowOff>25863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1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27</xdr:row>
          <xdr:rowOff>163286</xdr:rowOff>
        </xdr:from>
        <xdr:to>
          <xdr:col>2</xdr:col>
          <xdr:colOff>76200</xdr:colOff>
          <xdr:row>29</xdr:row>
          <xdr:rowOff>12237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1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26</xdr:row>
          <xdr:rowOff>157843</xdr:rowOff>
        </xdr:from>
        <xdr:to>
          <xdr:col>2</xdr:col>
          <xdr:colOff>76200</xdr:colOff>
          <xdr:row>28</xdr:row>
          <xdr:rowOff>19050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1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</xdr:row>
          <xdr:rowOff>163286</xdr:rowOff>
        </xdr:from>
        <xdr:to>
          <xdr:col>2</xdr:col>
          <xdr:colOff>88437</xdr:colOff>
          <xdr:row>31</xdr:row>
          <xdr:rowOff>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1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28</xdr:row>
          <xdr:rowOff>163286</xdr:rowOff>
        </xdr:from>
        <xdr:to>
          <xdr:col>2</xdr:col>
          <xdr:colOff>76200</xdr:colOff>
          <xdr:row>30</xdr:row>
          <xdr:rowOff>12237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1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163286</xdr:rowOff>
        </xdr:from>
        <xdr:to>
          <xdr:col>2</xdr:col>
          <xdr:colOff>88437</xdr:colOff>
          <xdr:row>32</xdr:row>
          <xdr:rowOff>12237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1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5443</xdr:rowOff>
        </xdr:from>
        <xdr:to>
          <xdr:col>2</xdr:col>
          <xdr:colOff>88437</xdr:colOff>
          <xdr:row>33</xdr:row>
          <xdr:rowOff>12237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1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163286</xdr:rowOff>
        </xdr:from>
        <xdr:to>
          <xdr:col>2</xdr:col>
          <xdr:colOff>88437</xdr:colOff>
          <xdr:row>34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1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125186</xdr:rowOff>
        </xdr:from>
        <xdr:to>
          <xdr:col>2</xdr:col>
          <xdr:colOff>95250</xdr:colOff>
          <xdr:row>17</xdr:row>
          <xdr:rowOff>57150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1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39</xdr:row>
          <xdr:rowOff>16329</xdr:rowOff>
        </xdr:from>
        <xdr:to>
          <xdr:col>2</xdr:col>
          <xdr:colOff>88437</xdr:colOff>
          <xdr:row>40</xdr:row>
          <xdr:rowOff>12237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1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10886</xdr:rowOff>
        </xdr:from>
        <xdr:to>
          <xdr:col>2</xdr:col>
          <xdr:colOff>88437</xdr:colOff>
          <xdr:row>41</xdr:row>
          <xdr:rowOff>1905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1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</xdr:row>
          <xdr:rowOff>10886</xdr:rowOff>
        </xdr:from>
        <xdr:to>
          <xdr:col>2</xdr:col>
          <xdr:colOff>88437</xdr:colOff>
          <xdr:row>42</xdr:row>
          <xdr:rowOff>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1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42</xdr:row>
          <xdr:rowOff>10886</xdr:rowOff>
        </xdr:from>
        <xdr:to>
          <xdr:col>2</xdr:col>
          <xdr:colOff>88437</xdr:colOff>
          <xdr:row>43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1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43</xdr:row>
          <xdr:rowOff>10886</xdr:rowOff>
        </xdr:from>
        <xdr:to>
          <xdr:col>2</xdr:col>
          <xdr:colOff>88437</xdr:colOff>
          <xdr:row>44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1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44</xdr:row>
          <xdr:rowOff>10886</xdr:rowOff>
        </xdr:from>
        <xdr:to>
          <xdr:col>2</xdr:col>
          <xdr:colOff>88437</xdr:colOff>
          <xdr:row>45</xdr:row>
          <xdr:rowOff>1905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1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45</xdr:row>
          <xdr:rowOff>10886</xdr:rowOff>
        </xdr:from>
        <xdr:to>
          <xdr:col>2</xdr:col>
          <xdr:colOff>76200</xdr:colOff>
          <xdr:row>46</xdr:row>
          <xdr:rowOff>0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1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46</xdr:row>
          <xdr:rowOff>10886</xdr:rowOff>
        </xdr:from>
        <xdr:to>
          <xdr:col>2</xdr:col>
          <xdr:colOff>76200</xdr:colOff>
          <xdr:row>47</xdr:row>
          <xdr:rowOff>1905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1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46</xdr:row>
          <xdr:rowOff>157843</xdr:rowOff>
        </xdr:from>
        <xdr:to>
          <xdr:col>2</xdr:col>
          <xdr:colOff>76200</xdr:colOff>
          <xdr:row>48</xdr:row>
          <xdr:rowOff>19050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1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47</xdr:row>
          <xdr:rowOff>163286</xdr:rowOff>
        </xdr:from>
        <xdr:to>
          <xdr:col>2</xdr:col>
          <xdr:colOff>76200</xdr:colOff>
          <xdr:row>49</xdr:row>
          <xdr:rowOff>12237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1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49</xdr:row>
          <xdr:rowOff>16329</xdr:rowOff>
        </xdr:from>
        <xdr:to>
          <xdr:col>2</xdr:col>
          <xdr:colOff>76200</xdr:colOff>
          <xdr:row>50</xdr:row>
          <xdr:rowOff>12237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1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38</xdr:row>
          <xdr:rowOff>16329</xdr:rowOff>
        </xdr:from>
        <xdr:to>
          <xdr:col>2</xdr:col>
          <xdr:colOff>88437</xdr:colOff>
          <xdr:row>39</xdr:row>
          <xdr:rowOff>12237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1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50</xdr:row>
          <xdr:rowOff>5443</xdr:rowOff>
        </xdr:from>
        <xdr:to>
          <xdr:col>2</xdr:col>
          <xdr:colOff>76200</xdr:colOff>
          <xdr:row>51</xdr:row>
          <xdr:rowOff>12237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1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</xdr:row>
          <xdr:rowOff>16329</xdr:rowOff>
        </xdr:from>
        <xdr:to>
          <xdr:col>2</xdr:col>
          <xdr:colOff>88437</xdr:colOff>
          <xdr:row>52</xdr:row>
          <xdr:rowOff>1905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1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57</xdr:row>
          <xdr:rowOff>16329</xdr:rowOff>
        </xdr:from>
        <xdr:to>
          <xdr:col>2</xdr:col>
          <xdr:colOff>88437</xdr:colOff>
          <xdr:row>58</xdr:row>
          <xdr:rowOff>12237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1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gerwagenius/Library/CloudStorage/Dropbox/Bruksstugan/20240301_Timmer_v2.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PSTÄLLNING"/>
      <sheetName val="Priser"/>
      <sheetName val="MATERIAL"/>
      <sheetName val="20240301_Timmer_v2.9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95F8-BEB8-5D4B-831D-ABFF63077AFA}">
  <dimension ref="B4:P31"/>
  <sheetViews>
    <sheetView zoomScale="125" zoomScaleNormal="125" workbookViewId="0">
      <selection activeCell="D10" sqref="D10"/>
    </sheetView>
  </sheetViews>
  <sheetFormatPr defaultColWidth="10.85546875" defaultRowHeight="15.9" x14ac:dyDescent="0.45"/>
  <cols>
    <col min="1" max="1" width="3.5" customWidth="1"/>
    <col min="2" max="2" width="11.85546875" customWidth="1"/>
    <col min="3" max="3" width="3.640625" customWidth="1"/>
    <col min="4" max="4" width="7.140625" customWidth="1"/>
    <col min="5" max="5" width="4.28515625" customWidth="1"/>
    <col min="7" max="7" width="3.640625" customWidth="1"/>
    <col min="9" max="9" width="4.28515625" customWidth="1"/>
    <col min="11" max="11" width="3.640625" customWidth="1"/>
    <col min="13" max="13" width="4.35546875" customWidth="1"/>
    <col min="14" max="14" width="14.42578125" customWidth="1"/>
  </cols>
  <sheetData>
    <row r="4" spans="2:16" ht="16.3" thickBot="1" x14ac:dyDescent="0.5">
      <c r="B4" s="40" t="s">
        <v>38</v>
      </c>
      <c r="C4" s="41"/>
      <c r="D4" s="42" t="s">
        <v>101</v>
      </c>
      <c r="E4" s="43"/>
      <c r="F4" s="40" t="s">
        <v>39</v>
      </c>
      <c r="G4" s="41"/>
      <c r="H4" s="44" t="s">
        <v>101</v>
      </c>
      <c r="I4" s="43"/>
      <c r="J4" s="40" t="s">
        <v>40</v>
      </c>
      <c r="K4" s="40"/>
      <c r="L4" s="41"/>
      <c r="M4" s="43"/>
      <c r="N4" s="40" t="s">
        <v>134</v>
      </c>
      <c r="O4" s="41"/>
      <c r="P4" s="43"/>
    </row>
    <row r="5" spans="2:16" ht="16.3" thickTop="1" x14ac:dyDescent="0.45">
      <c r="B5" s="45" t="s">
        <v>26</v>
      </c>
      <c r="C5" s="45"/>
      <c r="D5" s="46">
        <v>5000</v>
      </c>
      <c r="E5" s="43"/>
      <c r="F5" s="45" t="s">
        <v>41</v>
      </c>
      <c r="G5" s="45"/>
      <c r="H5" s="47">
        <v>70</v>
      </c>
      <c r="I5" s="43"/>
      <c r="J5" s="45" t="s">
        <v>42</v>
      </c>
      <c r="K5" s="45"/>
      <c r="L5" s="47">
        <v>3</v>
      </c>
      <c r="M5" s="43"/>
      <c r="N5" s="45" t="s">
        <v>43</v>
      </c>
      <c r="O5" s="47">
        <v>68.33</v>
      </c>
      <c r="P5" s="43"/>
    </row>
    <row r="6" spans="2:16" x14ac:dyDescent="0.45">
      <c r="B6" s="45" t="s">
        <v>18</v>
      </c>
      <c r="C6" s="45"/>
      <c r="D6" s="46">
        <v>3000</v>
      </c>
      <c r="E6" s="43"/>
      <c r="F6" s="45" t="s">
        <v>44</v>
      </c>
      <c r="G6" s="45"/>
      <c r="H6" s="47">
        <v>157</v>
      </c>
      <c r="I6" s="43"/>
      <c r="J6" s="45" t="s">
        <v>45</v>
      </c>
      <c r="K6" s="45"/>
      <c r="L6" s="47">
        <v>370</v>
      </c>
      <c r="M6" s="43"/>
      <c r="N6" s="45" t="s">
        <v>99</v>
      </c>
      <c r="O6" s="47">
        <v>850</v>
      </c>
      <c r="P6" s="43"/>
    </row>
    <row r="7" spans="2:16" x14ac:dyDescent="0.45">
      <c r="B7" s="45" t="s">
        <v>46</v>
      </c>
      <c r="C7" s="45"/>
      <c r="D7" s="46">
        <v>2120</v>
      </c>
      <c r="E7" s="43"/>
      <c r="F7" s="45" t="s">
        <v>47</v>
      </c>
      <c r="G7" s="45"/>
      <c r="H7" s="47">
        <v>140</v>
      </c>
      <c r="I7" s="43"/>
      <c r="J7" s="45" t="s">
        <v>81</v>
      </c>
      <c r="K7" s="45"/>
      <c r="L7" s="48">
        <v>0.1</v>
      </c>
      <c r="M7" s="43"/>
      <c r="N7" s="45" t="s">
        <v>48</v>
      </c>
      <c r="O7" s="47">
        <v>2.7</v>
      </c>
      <c r="P7" s="43"/>
    </row>
    <row r="8" spans="2:16" x14ac:dyDescent="0.45">
      <c r="B8" s="45" t="s">
        <v>20</v>
      </c>
      <c r="C8" s="45"/>
      <c r="D8" s="46">
        <v>18</v>
      </c>
      <c r="E8" s="43"/>
      <c r="F8" s="45" t="s">
        <v>49</v>
      </c>
      <c r="G8" s="45"/>
      <c r="H8" s="48">
        <v>0.05</v>
      </c>
      <c r="I8" s="43"/>
      <c r="J8" s="43"/>
      <c r="K8" s="43"/>
      <c r="L8" s="43"/>
      <c r="M8" s="43"/>
      <c r="N8" s="45" t="s">
        <v>50</v>
      </c>
      <c r="O8" s="47">
        <v>2000</v>
      </c>
      <c r="P8" s="43"/>
    </row>
    <row r="9" spans="2:16" x14ac:dyDescent="0.45">
      <c r="B9" s="45" t="s">
        <v>51</v>
      </c>
      <c r="C9" s="43"/>
      <c r="D9" s="45" t="b">
        <v>0</v>
      </c>
      <c r="E9" s="43"/>
      <c r="F9" s="43"/>
      <c r="G9" s="43"/>
      <c r="H9" s="43"/>
      <c r="I9" s="43"/>
      <c r="J9" s="43"/>
      <c r="K9" s="43"/>
      <c r="L9" s="43"/>
      <c r="M9" s="43"/>
      <c r="N9" s="45" t="s">
        <v>52</v>
      </c>
      <c r="O9" s="47">
        <v>550</v>
      </c>
      <c r="P9" s="43"/>
    </row>
    <row r="10" spans="2:16" ht="6.45" customHeight="1" thickBot="1" x14ac:dyDescent="0.5">
      <c r="B10" s="49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49"/>
      <c r="O10" s="49"/>
      <c r="P10" s="43"/>
    </row>
    <row r="11" spans="2:16" ht="5.15" customHeight="1" x14ac:dyDescent="0.45"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3"/>
    </row>
    <row r="12" spans="2:16" ht="16.3" thickBot="1" x14ac:dyDescent="0.5">
      <c r="B12" s="40" t="s">
        <v>53</v>
      </c>
      <c r="C12" s="41"/>
      <c r="D12" s="44" t="s">
        <v>101</v>
      </c>
      <c r="E12" s="43"/>
      <c r="F12" s="40" t="s">
        <v>69</v>
      </c>
      <c r="G12" s="41"/>
      <c r="H12" s="41"/>
      <c r="I12" s="43"/>
      <c r="J12" s="40" t="s">
        <v>54</v>
      </c>
      <c r="K12" s="40"/>
      <c r="L12" s="44" t="s">
        <v>103</v>
      </c>
      <c r="M12" s="43"/>
      <c r="N12" s="40" t="s">
        <v>55</v>
      </c>
      <c r="O12" s="41"/>
      <c r="P12" s="43"/>
    </row>
    <row r="13" spans="2:16" ht="16.3" thickTop="1" x14ac:dyDescent="0.45">
      <c r="B13" s="45" t="s">
        <v>56</v>
      </c>
      <c r="C13" s="43"/>
      <c r="D13" s="45">
        <f>längd+(2*knutUtstick)</f>
        <v>5280</v>
      </c>
      <c r="E13" s="43"/>
      <c r="F13" s="45" t="s">
        <v>57</v>
      </c>
      <c r="G13" s="43"/>
      <c r="H13" s="51">
        <f>((2*totLängd*vägglivshöjd)+(2*totBredd*vägglivshöjd))/1000000</f>
        <v>36.294400000000003</v>
      </c>
      <c r="I13" s="51"/>
      <c r="J13" s="45" t="s">
        <v>82</v>
      </c>
      <c r="K13" s="45"/>
      <c r="L13" s="52">
        <f>H18*D15</f>
        <v>273.38541039155956</v>
      </c>
      <c r="M13" s="43"/>
      <c r="N13" s="45" t="s">
        <v>58</v>
      </c>
      <c r="O13" s="52">
        <f>(L13*O5)+O8</f>
        <v>20680.425092055266</v>
      </c>
      <c r="P13" s="43"/>
    </row>
    <row r="14" spans="2:16" x14ac:dyDescent="0.45">
      <c r="B14" s="45" t="s">
        <v>59</v>
      </c>
      <c r="C14" s="43"/>
      <c r="D14" s="45">
        <f>bredd+(2*knutUtstick)</f>
        <v>3280</v>
      </c>
      <c r="E14" s="43"/>
      <c r="F14" s="45" t="s">
        <v>60</v>
      </c>
      <c r="G14" s="43"/>
      <c r="H14" s="51">
        <f>2 * ((totBredd/1000)/2 * TAN(RADIANS(takVinkel)) * (totBredd/1000)/2)</f>
        <v>1.7478080299760494</v>
      </c>
      <c r="I14" s="43"/>
      <c r="J14" s="43"/>
      <c r="K14" s="43"/>
      <c r="L14" s="43"/>
      <c r="M14" s="43"/>
      <c r="N14" s="45" t="s">
        <v>61</v>
      </c>
      <c r="O14" s="52">
        <f>(O6*H18)+O8</f>
        <v>38483.283016753623</v>
      </c>
      <c r="P14" s="43"/>
    </row>
    <row r="15" spans="2:16" x14ac:dyDescent="0.45">
      <c r="B15" s="45" t="s">
        <v>62</v>
      </c>
      <c r="C15" s="43"/>
      <c r="D15" s="51">
        <f>1/TimmerHöjd*1000</f>
        <v>6.369426751592357</v>
      </c>
      <c r="E15" s="43"/>
      <c r="F15" s="45" t="s">
        <v>63</v>
      </c>
      <c r="G15" s="43"/>
      <c r="H15" s="51">
        <f>((((2*takUtstick)+totLängd)*TimmerHöjd)*antalTakåsar)/1000000</f>
        <v>2.8354200000000001</v>
      </c>
      <c r="I15" s="43"/>
      <c r="J15" s="43"/>
      <c r="K15" s="43"/>
      <c r="L15" s="43"/>
      <c r="M15" s="43"/>
      <c r="N15" s="45" t="s">
        <v>100</v>
      </c>
      <c r="O15" s="53">
        <f>H18/O7</f>
        <v>15.896855344990685</v>
      </c>
      <c r="P15" s="43"/>
    </row>
    <row r="16" spans="2:16" x14ac:dyDescent="0.45">
      <c r="B16" s="45" t="s">
        <v>64</v>
      </c>
      <c r="C16" s="43"/>
      <c r="D16" s="52">
        <f>(TAN(RADIANS(takVinkel))*totBredd)/2</f>
        <v>532.86830182196627</v>
      </c>
      <c r="E16" s="43"/>
      <c r="F16" s="45" t="s">
        <v>49</v>
      </c>
      <c r="G16" s="43"/>
      <c r="H16" s="51">
        <f>SUM(H13:H15)*(1 + H8)-SUM(H13:H15)</f>
        <v>2.0438814014988012</v>
      </c>
      <c r="I16" s="43"/>
      <c r="J16" s="43"/>
      <c r="K16" s="43"/>
      <c r="L16" s="43"/>
      <c r="M16" s="43"/>
      <c r="N16" s="45" t="s">
        <v>65</v>
      </c>
      <c r="O16" s="52">
        <f>O15*O9</f>
        <v>8743.2704397448761</v>
      </c>
      <c r="P16" s="43"/>
    </row>
    <row r="17" spans="2:16" x14ac:dyDescent="0.45">
      <c r="B17" s="43"/>
      <c r="C17" s="43"/>
      <c r="D17" s="43"/>
      <c r="E17" s="43"/>
      <c r="F17" s="45" t="s">
        <v>51</v>
      </c>
      <c r="G17" s="43"/>
      <c r="H17" s="51">
        <f>IF(D9, (D14*D7)+(H14/2), 0)/1000000</f>
        <v>0</v>
      </c>
      <c r="I17" s="43"/>
      <c r="J17" s="43"/>
      <c r="K17" s="43"/>
      <c r="L17" s="43"/>
      <c r="M17" s="43"/>
      <c r="N17" s="45" t="s">
        <v>66</v>
      </c>
      <c r="O17" s="52">
        <f>O14-O13-O16</f>
        <v>9059.5874849534812</v>
      </c>
      <c r="P17" s="43"/>
    </row>
    <row r="18" spans="2:16" x14ac:dyDescent="0.45">
      <c r="B18" s="43"/>
      <c r="C18" s="43"/>
      <c r="D18" s="43"/>
      <c r="E18" s="43"/>
      <c r="F18" s="45" t="s">
        <v>67</v>
      </c>
      <c r="G18" s="43"/>
      <c r="H18" s="51">
        <f>areaVäggliv+areaGavelspetsar+areaTakåsar+H16+H17</f>
        <v>42.921509431474853</v>
      </c>
      <c r="I18" s="43"/>
      <c r="J18" s="43"/>
      <c r="K18" s="43"/>
      <c r="L18" s="43"/>
      <c r="M18" s="43"/>
      <c r="N18" s="43"/>
      <c r="O18" s="43"/>
      <c r="P18" s="43"/>
    </row>
    <row r="19" spans="2:16" x14ac:dyDescent="0.45"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54" t="s">
        <v>68</v>
      </c>
      <c r="O19" s="55">
        <f>O14*1.25</f>
        <v>48104.103770942027</v>
      </c>
      <c r="P19" s="43"/>
    </row>
    <row r="20" spans="2:16" ht="16.3" thickBot="1" x14ac:dyDescent="0.5">
      <c r="B20" s="40" t="s">
        <v>70</v>
      </c>
      <c r="C20" s="56"/>
      <c r="D20" s="56"/>
      <c r="E20" s="45"/>
      <c r="F20" s="40" t="s">
        <v>71</v>
      </c>
      <c r="G20" s="56"/>
      <c r="H20" s="44" t="s">
        <v>102</v>
      </c>
      <c r="I20" s="45"/>
      <c r="J20" s="45"/>
      <c r="K20" s="45"/>
      <c r="L20" s="45"/>
      <c r="M20" s="45"/>
      <c r="N20" s="45"/>
      <c r="O20" s="45"/>
      <c r="P20" s="43"/>
    </row>
    <row r="21" spans="2:16" ht="16.3" thickTop="1" x14ac:dyDescent="0.45">
      <c r="B21" s="45" t="s">
        <v>72</v>
      </c>
      <c r="C21" s="45"/>
      <c r="D21" s="51">
        <f>((längd-(2*TimmerTjocklek))*((bredd-(2*TimmerTjocklek))/1000000))</f>
        <v>13.899600000000001</v>
      </c>
      <c r="E21" s="45"/>
      <c r="F21" s="45" t="s">
        <v>76</v>
      </c>
      <c r="G21" s="45"/>
      <c r="H21" s="45">
        <f>D5 (längd) + 2 * L6 (takUtstick)</f>
        <v>5740</v>
      </c>
      <c r="I21" s="43"/>
      <c r="J21" s="43"/>
      <c r="K21" s="43"/>
      <c r="L21" s="43"/>
      <c r="M21" s="43"/>
      <c r="N21" s="43"/>
      <c r="O21" s="43"/>
      <c r="P21" s="43"/>
    </row>
    <row r="22" spans="2:16" x14ac:dyDescent="0.45">
      <c r="B22" s="45" t="s">
        <v>73</v>
      </c>
      <c r="C22" s="45"/>
      <c r="D22" s="45">
        <f>bredd-(2*TimmerTjocklek)</f>
        <v>2860</v>
      </c>
      <c r="E22" s="45"/>
      <c r="F22" s="45" t="s">
        <v>77</v>
      </c>
      <c r="G22" s="45"/>
      <c r="H22" s="45">
        <f>D6 (bredd) + 2 * L6 (takUtstick)</f>
        <v>3740</v>
      </c>
      <c r="I22" s="43"/>
      <c r="J22" s="43"/>
      <c r="K22" s="43"/>
      <c r="L22" s="43"/>
      <c r="M22" s="43"/>
      <c r="N22" s="43"/>
      <c r="O22" s="43"/>
      <c r="P22" s="43"/>
    </row>
    <row r="23" spans="2:16" x14ac:dyDescent="0.45">
      <c r="B23" s="45" t="s">
        <v>83</v>
      </c>
      <c r="C23" s="45"/>
      <c r="D23" s="45">
        <f>ROUNDUP(((längd-(2*TimmerTjocklek))/0.6)/1000,0)-1</f>
        <v>8</v>
      </c>
      <c r="E23" s="45"/>
      <c r="F23" s="45" t="s">
        <v>78</v>
      </c>
      <c r="G23" s="45"/>
      <c r="H23" s="52">
        <f>(takbredd/2)/COS(RADIANS(D8))</f>
        <v>1966.2343593255598</v>
      </c>
      <c r="I23" s="43"/>
      <c r="J23" s="43"/>
      <c r="K23" s="43"/>
      <c r="L23" s="43"/>
      <c r="M23" s="43"/>
      <c r="N23" s="43"/>
      <c r="O23" s="43"/>
      <c r="P23" s="43"/>
    </row>
    <row r="24" spans="2:16" x14ac:dyDescent="0.45">
      <c r="B24" s="45"/>
      <c r="C24" s="45"/>
      <c r="D24" s="45"/>
      <c r="E24" s="45"/>
      <c r="F24" s="45" t="s">
        <v>79</v>
      </c>
      <c r="G24" s="45"/>
      <c r="H24" s="51">
        <f>2 * (H23 * H21) / 1000000</f>
        <v>22.572370445057427</v>
      </c>
      <c r="I24" s="43"/>
      <c r="J24" s="43"/>
      <c r="K24" s="43"/>
      <c r="L24" s="43"/>
      <c r="M24" s="43"/>
      <c r="N24" s="43"/>
      <c r="O24" s="43"/>
      <c r="P24" s="43"/>
    </row>
    <row r="25" spans="2:16" x14ac:dyDescent="0.45">
      <c r="B25" s="45"/>
      <c r="C25" s="45"/>
      <c r="D25" s="45"/>
      <c r="E25" s="45"/>
      <c r="F25" s="45" t="s">
        <v>80</v>
      </c>
      <c r="G25" s="45"/>
      <c r="H25" s="53">
        <f>takArea * (1+takspill)</f>
        <v>24.82960748956317</v>
      </c>
      <c r="I25" s="43"/>
      <c r="J25" s="43"/>
      <c r="K25" s="43"/>
      <c r="L25" s="43"/>
      <c r="M25" s="43"/>
      <c r="N25" s="43"/>
      <c r="O25" s="43"/>
      <c r="P25" s="43"/>
    </row>
    <row r="26" spans="2:16" x14ac:dyDescent="0.45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</row>
    <row r="27" spans="2:16" x14ac:dyDescent="0.45"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2:16" x14ac:dyDescent="0.45"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 t="s">
        <v>98</v>
      </c>
      <c r="O28" s="23"/>
      <c r="P28" s="23"/>
    </row>
    <row r="29" spans="2:16" x14ac:dyDescent="0.45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2:16" x14ac:dyDescent="0.45"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2:16" x14ac:dyDescent="0.45"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</sheetData>
  <conditionalFormatting sqref="D5:D8">
    <cfRule type="notContainsBlanks" dxfId="5" priority="2">
      <formula>LEN(TRIM(D5))&gt;0</formula>
    </cfRule>
  </conditionalFormatting>
  <conditionalFormatting sqref="H5:H8">
    <cfRule type="notContainsBlanks" dxfId="4" priority="1">
      <formula>LEN(TRIM(H5))&gt;0</formula>
    </cfRule>
  </conditionalFormatting>
  <conditionalFormatting sqref="L5:L6">
    <cfRule type="notContainsBlanks" dxfId="3" priority="3">
      <formula>LEN(TRIM(L5))&gt;0</formula>
    </cfRule>
  </conditionalFormatting>
  <conditionalFormatting sqref="O5:O9">
    <cfRule type="notContainsBlanks" dxfId="2" priority="4">
      <formula>LEN(TRIM(O5))&gt;0</formula>
    </cfRule>
  </conditionalFormatting>
  <pageMargins left="0.25" right="0.25" top="0.75" bottom="0.75" header="0.3" footer="0.3"/>
  <pageSetup paperSize="9" orientation="landscape" horizontalDpi="0" verticalDpi="0" r:id="rId1"/>
  <headerFooter>
    <oddHeader>&amp;L&amp;10PROJEKT: TEST&amp;C&amp;10DATUM: 20250628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EBE3-5E45-9D4E-8F7A-A9E8668BD982}">
  <dimension ref="A1:P77"/>
  <sheetViews>
    <sheetView tabSelected="1" view="pageLayout" zoomScale="125" zoomScaleNormal="100" zoomScalePageLayoutView="125" workbookViewId="0">
      <selection activeCell="L6" sqref="L6"/>
    </sheetView>
  </sheetViews>
  <sheetFormatPr defaultColWidth="10.85546875" defaultRowHeight="15.9" x14ac:dyDescent="0.45"/>
  <cols>
    <col min="1" max="1" width="1.0703125" customWidth="1"/>
    <col min="2" max="2" width="2.85546875" customWidth="1"/>
    <col min="3" max="3" width="28.640625" customWidth="1"/>
    <col min="4" max="4" width="3.7109375" customWidth="1"/>
    <col min="5" max="5" width="6.2109375" customWidth="1"/>
    <col min="6" max="6" width="5.640625" customWidth="1"/>
    <col min="7" max="7" width="6.5703125" customWidth="1"/>
    <col min="8" max="8" width="7.0703125" customWidth="1"/>
    <col min="9" max="9" width="6.5703125" customWidth="1"/>
    <col min="10" max="10" width="7.0703125" customWidth="1"/>
    <col min="11" max="11" width="9.85546875" hidden="1" customWidth="1"/>
    <col min="12" max="12" width="4.35546875" customWidth="1"/>
    <col min="13" max="13" width="3" customWidth="1"/>
    <col min="14" max="14" width="1.78515625" customWidth="1"/>
    <col min="15" max="15" width="5.42578125" customWidth="1"/>
  </cols>
  <sheetData>
    <row r="1" spans="1:16" ht="13" customHeight="1" x14ac:dyDescent="0.5">
      <c r="A1" s="3"/>
      <c r="B1" s="3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6" ht="13" customHeight="1" thickBot="1" x14ac:dyDescent="0.55000000000000004">
      <c r="A2" s="3"/>
      <c r="B2" s="4"/>
      <c r="C2" s="10" t="s">
        <v>0</v>
      </c>
      <c r="D2" s="20" t="s">
        <v>1</v>
      </c>
      <c r="E2" s="20" t="s">
        <v>5</v>
      </c>
      <c r="F2" s="20" t="s">
        <v>3</v>
      </c>
      <c r="G2" s="20" t="s">
        <v>2</v>
      </c>
      <c r="H2" s="20" t="s">
        <v>106</v>
      </c>
      <c r="I2" s="20" t="s">
        <v>105</v>
      </c>
      <c r="J2" s="20" t="s">
        <v>75</v>
      </c>
      <c r="K2" s="8"/>
      <c r="L2" s="20" t="s">
        <v>127</v>
      </c>
      <c r="M2" s="8"/>
    </row>
    <row r="3" spans="1:16" ht="13" customHeight="1" thickTop="1" x14ac:dyDescent="0.5">
      <c r="A3" s="3"/>
      <c r="B3" s="5"/>
      <c r="C3" s="7"/>
      <c r="D3" s="7"/>
      <c r="E3" s="7"/>
      <c r="F3" s="7"/>
      <c r="G3" s="7"/>
      <c r="H3" s="7"/>
      <c r="I3" s="7"/>
      <c r="J3" s="7"/>
      <c r="K3" s="8"/>
      <c r="L3" s="7"/>
      <c r="M3" s="8"/>
    </row>
    <row r="4" spans="1:16" s="1" customFormat="1" ht="13" customHeight="1" thickBot="1" x14ac:dyDescent="0.55000000000000004">
      <c r="A4" s="5"/>
      <c r="B4" s="5"/>
      <c r="C4" s="16" t="s">
        <v>9</v>
      </c>
      <c r="D4" s="7"/>
      <c r="E4" s="7"/>
      <c r="F4" s="7"/>
      <c r="G4" s="7"/>
      <c r="H4" s="7"/>
      <c r="I4" s="7"/>
      <c r="J4" s="7"/>
      <c r="K4" s="7"/>
      <c r="L4" s="7"/>
      <c r="M4" s="7"/>
    </row>
    <row r="5" spans="1:16" s="1" customFormat="1" ht="5.6" customHeight="1" x14ac:dyDescent="0.5">
      <c r="A5" s="5"/>
      <c r="B5" s="5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6" ht="13" customHeight="1" x14ac:dyDescent="0.5">
      <c r="A6" s="3"/>
      <c r="B6" s="6" t="b">
        <v>1</v>
      </c>
      <c r="C6" s="8" t="s">
        <v>6</v>
      </c>
      <c r="D6" s="8" t="s">
        <v>17</v>
      </c>
      <c r="E6" s="8">
        <v>1.67</v>
      </c>
      <c r="F6" s="8">
        <v>0.2</v>
      </c>
      <c r="G6" s="27">
        <f>E6*innerArea</f>
        <v>23.212332</v>
      </c>
      <c r="H6" s="28"/>
      <c r="I6" s="57">
        <f>IF($B6, IF($H6&lt;&gt;"", $H6, $G6), "")</f>
        <v>23.212332</v>
      </c>
      <c r="J6" s="11">
        <f>IF(B6,(I6*F6)/24,"-")</f>
        <v>0.1934361</v>
      </c>
      <c r="K6" s="8" cm="1">
        <f t="array" ref="K6:K8">_xlfn._xlws.FILTER(J6:J17,B6:B17=TRUE)</f>
        <v>0.1934361</v>
      </c>
      <c r="L6" s="58">
        <f>IF(B6,(längd/1000)/0.6-1,"-")</f>
        <v>7.3333333333333339</v>
      </c>
      <c r="M6" s="8" t="str">
        <f>IF(B6,"st","")</f>
        <v>st</v>
      </c>
      <c r="N6" s="8" t="str">
        <f>IF(B6,"a","")</f>
        <v>a</v>
      </c>
      <c r="O6" s="8">
        <f>IF(B6,bredd-(2*TimmerTjocklek),"")</f>
        <v>2860</v>
      </c>
      <c r="P6" s="8" t="str">
        <f>IF(B6,"mm","")</f>
        <v>mm</v>
      </c>
    </row>
    <row r="7" spans="1:16" ht="13" customHeight="1" x14ac:dyDescent="0.5">
      <c r="A7" s="3"/>
      <c r="B7" s="6" t="b">
        <v>1</v>
      </c>
      <c r="C7" s="8" t="s">
        <v>27</v>
      </c>
      <c r="D7" s="8" t="s">
        <v>17</v>
      </c>
      <c r="E7" s="8">
        <f>2*längdGolvregel/1000</f>
        <v>5.72</v>
      </c>
      <c r="F7" s="8">
        <v>0.06</v>
      </c>
      <c r="G7" s="27">
        <f>E7</f>
        <v>5.72</v>
      </c>
      <c r="H7" s="28"/>
      <c r="I7" s="29">
        <f>IF($B7, IF($H7&lt;&gt;"", $H7, $G7), "")</f>
        <v>5.72</v>
      </c>
      <c r="J7" s="11">
        <f t="shared" ref="J7:J15" si="0">IF(B7,(I7*F7)/24,"-")</f>
        <v>1.4299999999999998E-2</v>
      </c>
      <c r="K7" s="8">
        <v>1.4299999999999998E-2</v>
      </c>
      <c r="L7" s="58" t="str">
        <f>IF(B7,(IF(Stomme!D9,4,"2")),"-")</f>
        <v>2</v>
      </c>
      <c r="M7" s="8" t="str">
        <f>IF(B7,"st","")</f>
        <v>st</v>
      </c>
      <c r="N7" s="8" t="str">
        <f>IF(B7,"a","")</f>
        <v>a</v>
      </c>
      <c r="O7" s="8">
        <f>IF(B7,bredd-(2*TimmerTjocklek),"")</f>
        <v>2860</v>
      </c>
      <c r="P7" s="8" t="str">
        <f>IF(B7,"mm","")</f>
        <v>mm</v>
      </c>
    </row>
    <row r="8" spans="1:16" ht="13" customHeight="1" x14ac:dyDescent="0.5">
      <c r="A8" s="3"/>
      <c r="B8" s="6" t="b">
        <v>0</v>
      </c>
      <c r="C8" s="8" t="s">
        <v>7</v>
      </c>
      <c r="D8" s="8" t="s">
        <v>4</v>
      </c>
      <c r="E8" s="8">
        <v>1.67</v>
      </c>
      <c r="F8" s="8">
        <v>0.08</v>
      </c>
      <c r="G8" s="27">
        <f t="shared" ref="G8:G15" si="1">innerArea*E8</f>
        <v>23.212332</v>
      </c>
      <c r="H8" s="28"/>
      <c r="I8" s="29" t="str">
        <f>IF($B8, IF($H8&lt;&gt;"", $H8, $G8), "")</f>
        <v/>
      </c>
      <c r="J8" s="11" t="str">
        <f t="shared" si="0"/>
        <v>-</v>
      </c>
      <c r="K8" s="8">
        <v>0.20270250000000001</v>
      </c>
      <c r="L8" s="12"/>
      <c r="M8" s="8"/>
    </row>
    <row r="9" spans="1:16" ht="13" customHeight="1" x14ac:dyDescent="0.5">
      <c r="A9" s="3"/>
      <c r="B9" s="6" t="b">
        <v>0</v>
      </c>
      <c r="C9" s="8" t="s">
        <v>8</v>
      </c>
      <c r="D9" s="8" t="s">
        <v>4</v>
      </c>
      <c r="E9" s="8">
        <v>1.38</v>
      </c>
      <c r="F9" s="8">
        <v>0.08</v>
      </c>
      <c r="G9" s="27">
        <f t="shared" si="1"/>
        <v>19.181448</v>
      </c>
      <c r="H9" s="28"/>
      <c r="I9" s="29" t="str">
        <f t="shared" ref="I9:I15" si="2">IF($B9, IF($H9&lt;&gt;"", $H9, $G9), "")</f>
        <v/>
      </c>
      <c r="J9" s="11" t="str">
        <f t="shared" si="0"/>
        <v>-</v>
      </c>
      <c r="K9" s="8"/>
      <c r="L9" s="12"/>
      <c r="M9" s="8"/>
    </row>
    <row r="10" spans="1:16" ht="13" customHeight="1" x14ac:dyDescent="0.5">
      <c r="A10" s="3"/>
      <c r="B10" s="6" t="b">
        <v>0</v>
      </c>
      <c r="C10" s="8" t="s">
        <v>12</v>
      </c>
      <c r="D10" s="8" t="s">
        <v>4</v>
      </c>
      <c r="E10" s="8">
        <v>1.67</v>
      </c>
      <c r="F10" s="8">
        <v>0.08</v>
      </c>
      <c r="G10" s="27">
        <f t="shared" si="1"/>
        <v>23.212332</v>
      </c>
      <c r="H10" s="28"/>
      <c r="I10" s="29" t="str">
        <f t="shared" si="2"/>
        <v/>
      </c>
      <c r="J10" s="11" t="str">
        <f t="shared" si="0"/>
        <v>-</v>
      </c>
      <c r="K10" s="8"/>
      <c r="L10" s="12"/>
      <c r="M10" s="8"/>
    </row>
    <row r="11" spans="1:16" ht="13" customHeight="1" x14ac:dyDescent="0.5">
      <c r="A11" s="3"/>
      <c r="B11" s="6" t="b">
        <v>0</v>
      </c>
      <c r="C11" s="8" t="s">
        <v>13</v>
      </c>
      <c r="D11" s="8" t="s">
        <v>4</v>
      </c>
      <c r="E11" s="8">
        <v>3.34</v>
      </c>
      <c r="F11" s="8">
        <v>0.04</v>
      </c>
      <c r="G11" s="27">
        <f t="shared" si="1"/>
        <v>46.424664</v>
      </c>
      <c r="H11" s="28"/>
      <c r="I11" s="29" t="str">
        <f t="shared" si="2"/>
        <v/>
      </c>
      <c r="J11" s="11" t="str">
        <f t="shared" si="0"/>
        <v>-</v>
      </c>
      <c r="K11" s="8"/>
      <c r="L11" s="12"/>
      <c r="M11" s="8"/>
    </row>
    <row r="12" spans="1:16" ht="13" customHeight="1" x14ac:dyDescent="0.5">
      <c r="A12" s="3"/>
      <c r="B12" s="6" t="b">
        <v>0</v>
      </c>
      <c r="C12" s="8" t="s">
        <v>10</v>
      </c>
      <c r="D12" s="8" t="s">
        <v>4</v>
      </c>
      <c r="E12" s="8">
        <v>0.69</v>
      </c>
      <c r="F12" s="8">
        <v>0.15</v>
      </c>
      <c r="G12" s="27">
        <f t="shared" si="1"/>
        <v>9.5907239999999998</v>
      </c>
      <c r="H12" s="28"/>
      <c r="I12" s="29" t="str">
        <f t="shared" si="2"/>
        <v/>
      </c>
      <c r="J12" s="11" t="str">
        <f t="shared" si="0"/>
        <v>-</v>
      </c>
      <c r="K12" s="8"/>
      <c r="L12" s="12"/>
      <c r="M12" s="8"/>
    </row>
    <row r="13" spans="1:16" ht="13" customHeight="1" x14ac:dyDescent="0.5">
      <c r="A13" s="3"/>
      <c r="B13" s="6" t="b">
        <v>0</v>
      </c>
      <c r="C13" s="8" t="s">
        <v>15</v>
      </c>
      <c r="D13" s="8" t="s">
        <v>4</v>
      </c>
      <c r="E13" s="8">
        <v>6.1</v>
      </c>
      <c r="F13" s="8">
        <v>0.5</v>
      </c>
      <c r="G13" s="27">
        <f t="shared" si="1"/>
        <v>84.787559999999999</v>
      </c>
      <c r="H13" s="28"/>
      <c r="I13" s="29" t="str">
        <f t="shared" si="2"/>
        <v/>
      </c>
      <c r="J13" s="11" t="str">
        <f>IF(B13,((I13/E13)*F13)/24,"-")</f>
        <v>-</v>
      </c>
      <c r="K13" s="8"/>
      <c r="L13" s="12"/>
      <c r="M13" s="8"/>
    </row>
    <row r="14" spans="1:16" ht="13" customHeight="1" x14ac:dyDescent="0.5">
      <c r="A14" s="3"/>
      <c r="B14" s="6" t="b">
        <v>0</v>
      </c>
      <c r="C14" s="8" t="s">
        <v>11</v>
      </c>
      <c r="D14" s="8" t="s">
        <v>4</v>
      </c>
      <c r="E14" s="8">
        <v>1</v>
      </c>
      <c r="F14" s="8">
        <v>0.22</v>
      </c>
      <c r="G14" s="27">
        <f t="shared" si="1"/>
        <v>13.899600000000001</v>
      </c>
      <c r="H14" s="28"/>
      <c r="I14" s="29" t="str">
        <f t="shared" si="2"/>
        <v/>
      </c>
      <c r="J14" s="11" t="str">
        <f t="shared" si="0"/>
        <v>-</v>
      </c>
      <c r="K14" s="8"/>
      <c r="L14" s="12"/>
      <c r="M14" s="8"/>
    </row>
    <row r="15" spans="1:16" ht="13" customHeight="1" x14ac:dyDescent="0.5">
      <c r="A15" s="3"/>
      <c r="B15" s="6" t="b">
        <v>0</v>
      </c>
      <c r="C15" s="8" t="s">
        <v>14</v>
      </c>
      <c r="D15" s="8" t="s">
        <v>4</v>
      </c>
      <c r="E15" s="8">
        <v>1.44</v>
      </c>
      <c r="F15" s="8">
        <v>0.21</v>
      </c>
      <c r="G15" s="27">
        <f t="shared" si="1"/>
        <v>20.015423999999999</v>
      </c>
      <c r="H15" s="28"/>
      <c r="I15" s="29" t="str">
        <f t="shared" si="2"/>
        <v/>
      </c>
      <c r="J15" s="11" t="str">
        <f t="shared" si="0"/>
        <v>-</v>
      </c>
      <c r="K15" s="8"/>
      <c r="L15" s="12"/>
      <c r="M15" s="8"/>
    </row>
    <row r="16" spans="1:16" ht="13" customHeight="1" x14ac:dyDescent="0.5">
      <c r="A16" s="3"/>
      <c r="B16" s="6" t="b">
        <v>1</v>
      </c>
      <c r="C16" s="8" t="s">
        <v>19</v>
      </c>
      <c r="D16" s="8" t="s">
        <v>17</v>
      </c>
      <c r="E16" s="8">
        <v>8.4</v>
      </c>
      <c r="F16" s="8">
        <v>0.35</v>
      </c>
      <c r="G16" s="27">
        <f>(innerArea*E16)</f>
        <v>116.75664000000002</v>
      </c>
      <c r="H16" s="28"/>
      <c r="I16" s="29">
        <f>IF($B16, IF($H16&lt;&gt;"", $H16, $G16), "")</f>
        <v>116.75664000000002</v>
      </c>
      <c r="J16" s="11">
        <f>IF(B16,(I16/E16*F16)/24,"-")</f>
        <v>0.20270250000000001</v>
      </c>
      <c r="K16" s="12"/>
      <c r="L16" s="12"/>
      <c r="M16" s="8"/>
    </row>
    <row r="17" spans="1:13" ht="13" customHeight="1" x14ac:dyDescent="0.5">
      <c r="A17" s="3"/>
      <c r="B17" s="6" t="b">
        <v>0</v>
      </c>
      <c r="C17" s="8" t="s">
        <v>74</v>
      </c>
      <c r="D17" s="8" t="s">
        <v>4</v>
      </c>
      <c r="E17" s="8">
        <v>7.56</v>
      </c>
      <c r="F17" s="8">
        <v>0.3</v>
      </c>
      <c r="G17" s="27">
        <f>(innerArea*E17)</f>
        <v>105.08097600000001</v>
      </c>
      <c r="H17" s="28"/>
      <c r="I17" s="29" t="str">
        <f>IF($B17, IF($H17&lt;&gt;"", $H17, $G17), "")</f>
        <v/>
      </c>
      <c r="J17" s="11" t="str">
        <f>IF(B17,(I17/E17*F17)/24,"-")</f>
        <v>-</v>
      </c>
      <c r="K17" s="12"/>
      <c r="L17" s="12"/>
      <c r="M17" s="8"/>
    </row>
    <row r="18" spans="1:13" ht="13" customHeight="1" thickBot="1" x14ac:dyDescent="0.55000000000000004">
      <c r="A18" s="3"/>
      <c r="B18" s="6"/>
      <c r="C18" s="8"/>
      <c r="D18" s="8"/>
      <c r="E18" s="8"/>
      <c r="F18" s="8"/>
      <c r="G18" s="21" t="s">
        <v>16</v>
      </c>
      <c r="H18" s="21"/>
      <c r="I18" s="21"/>
      <c r="J18" s="22">
        <f>SUM(K6:K16)</f>
        <v>0.41043859999999999</v>
      </c>
      <c r="K18" s="8"/>
      <c r="L18" s="14"/>
      <c r="M18" s="8"/>
    </row>
    <row r="19" spans="1:13" ht="13" customHeight="1" x14ac:dyDescent="0.5">
      <c r="A19" s="3"/>
      <c r="B19" s="6"/>
      <c r="C19" s="8"/>
      <c r="D19" s="8"/>
      <c r="E19" s="8"/>
      <c r="F19" s="8"/>
      <c r="G19" s="8"/>
      <c r="H19" s="8"/>
      <c r="I19" s="8"/>
      <c r="J19" s="15"/>
      <c r="K19" s="8"/>
      <c r="L19" s="14"/>
      <c r="M19" s="8"/>
    </row>
    <row r="20" spans="1:13" ht="13" customHeight="1" thickBot="1" x14ac:dyDescent="0.55000000000000004">
      <c r="A20" s="3"/>
      <c r="B20" s="3"/>
      <c r="C20" s="16" t="s">
        <v>21</v>
      </c>
      <c r="D20" s="8"/>
      <c r="E20" s="8"/>
      <c r="F20" s="8"/>
      <c r="G20" s="17"/>
      <c r="H20" s="17"/>
      <c r="I20" s="17"/>
      <c r="J20" s="8"/>
      <c r="K20" s="8"/>
      <c r="L20" s="8"/>
      <c r="M20" s="8"/>
    </row>
    <row r="21" spans="1:13" ht="13" customHeight="1" x14ac:dyDescent="0.5">
      <c r="A21" s="3"/>
      <c r="B21" s="6" t="b">
        <v>0</v>
      </c>
      <c r="C21" s="8" t="s">
        <v>28</v>
      </c>
      <c r="D21" s="8" t="s">
        <v>4</v>
      </c>
      <c r="E21" s="8">
        <v>7.85</v>
      </c>
      <c r="F21" s="8">
        <v>0.6</v>
      </c>
      <c r="G21" s="18">
        <f t="shared" ref="G21:G27" si="3">totVäggarea</f>
        <v>0</v>
      </c>
      <c r="H21" s="25"/>
      <c r="I21" s="25"/>
      <c r="J21" s="12">
        <f t="shared" ref="J21:J29" si="4">(G21*F21)/24</f>
        <v>0</v>
      </c>
      <c r="K21" s="8" t="e" cm="1" vm="1">
        <f t="array" ref="K21">_xlfn._xlws.FILTER(J21:J29,B21:B29=TRUE)</f>
        <v>#VALUE!</v>
      </c>
      <c r="L21" s="8"/>
      <c r="M21" s="8"/>
    </row>
    <row r="22" spans="1:13" ht="13" customHeight="1" x14ac:dyDescent="0.5">
      <c r="A22" s="3"/>
      <c r="B22" s="6" t="b">
        <v>0</v>
      </c>
      <c r="C22" s="8" t="s">
        <v>22</v>
      </c>
      <c r="D22" s="8" t="s">
        <v>4</v>
      </c>
      <c r="E22" s="8">
        <v>6.25</v>
      </c>
      <c r="F22" s="8">
        <v>0.13</v>
      </c>
      <c r="G22" s="18">
        <f t="shared" si="3"/>
        <v>0</v>
      </c>
      <c r="H22" s="25"/>
      <c r="I22" s="25"/>
      <c r="J22" s="12">
        <f t="shared" si="4"/>
        <v>0</v>
      </c>
      <c r="K22" s="8"/>
      <c r="L22" s="8"/>
      <c r="M22" s="8"/>
    </row>
    <row r="23" spans="1:13" ht="13" customHeight="1" x14ac:dyDescent="0.5">
      <c r="A23" s="3"/>
      <c r="B23" s="6" t="b">
        <v>0</v>
      </c>
      <c r="C23" s="8" t="s">
        <v>29</v>
      </c>
      <c r="D23" s="8" t="s">
        <v>4</v>
      </c>
      <c r="E23" s="8">
        <v>1</v>
      </c>
      <c r="F23" s="8">
        <v>0.06</v>
      </c>
      <c r="G23" s="18">
        <f t="shared" si="3"/>
        <v>0</v>
      </c>
      <c r="H23" s="25"/>
      <c r="I23" s="25"/>
      <c r="J23" s="12">
        <f t="shared" si="4"/>
        <v>0</v>
      </c>
      <c r="K23" s="8"/>
      <c r="L23" s="8"/>
      <c r="M23" s="8"/>
    </row>
    <row r="24" spans="1:13" ht="13" customHeight="1" x14ac:dyDescent="0.5">
      <c r="A24" s="3"/>
      <c r="B24" s="6" t="b">
        <v>0</v>
      </c>
      <c r="C24" s="8" t="s">
        <v>23</v>
      </c>
      <c r="D24" s="8" t="s">
        <v>4</v>
      </c>
      <c r="E24" s="8">
        <v>1</v>
      </c>
      <c r="F24" s="8">
        <v>0.2</v>
      </c>
      <c r="G24" s="18">
        <f t="shared" si="3"/>
        <v>0</v>
      </c>
      <c r="H24" s="25"/>
      <c r="I24" s="25"/>
      <c r="J24" s="12">
        <f t="shared" si="4"/>
        <v>0</v>
      </c>
      <c r="K24" s="8"/>
      <c r="L24" s="8"/>
      <c r="M24" s="8"/>
    </row>
    <row r="25" spans="1:13" ht="13" customHeight="1" x14ac:dyDescent="0.5">
      <c r="A25" s="3"/>
      <c r="B25" s="6" t="b">
        <v>0</v>
      </c>
      <c r="C25" s="8" t="s">
        <v>24</v>
      </c>
      <c r="D25" s="8" t="s">
        <v>4</v>
      </c>
      <c r="E25" s="8">
        <v>1</v>
      </c>
      <c r="F25" s="8">
        <v>0.25</v>
      </c>
      <c r="G25" s="18">
        <f t="shared" si="3"/>
        <v>0</v>
      </c>
      <c r="H25" s="25"/>
      <c r="I25" s="25"/>
      <c r="J25" s="12">
        <f t="shared" si="4"/>
        <v>0</v>
      </c>
      <c r="K25" s="8"/>
      <c r="L25" s="8"/>
      <c r="M25" s="8"/>
    </row>
    <row r="26" spans="1:13" ht="13" customHeight="1" x14ac:dyDescent="0.5">
      <c r="A26" s="3"/>
      <c r="B26" s="6" t="b">
        <v>0</v>
      </c>
      <c r="C26" s="8" t="s">
        <v>30</v>
      </c>
      <c r="D26" s="8" t="s">
        <v>4</v>
      </c>
      <c r="E26" s="8">
        <v>1.67</v>
      </c>
      <c r="F26" s="8">
        <v>0.22</v>
      </c>
      <c r="G26" s="18">
        <f t="shared" si="3"/>
        <v>0</v>
      </c>
      <c r="H26" s="25"/>
      <c r="I26" s="25"/>
      <c r="J26" s="12">
        <f t="shared" si="4"/>
        <v>0</v>
      </c>
      <c r="K26" s="8"/>
      <c r="L26" s="8"/>
      <c r="M26" s="8"/>
    </row>
    <row r="27" spans="1:13" ht="13" customHeight="1" x14ac:dyDescent="0.5">
      <c r="A27" s="3"/>
      <c r="B27" s="6" t="b">
        <v>0</v>
      </c>
      <c r="C27" s="8" t="s">
        <v>25</v>
      </c>
      <c r="D27" s="8" t="s">
        <v>4</v>
      </c>
      <c r="E27" s="8">
        <v>1</v>
      </c>
      <c r="F27" s="8">
        <v>0.06</v>
      </c>
      <c r="G27" s="18">
        <f t="shared" si="3"/>
        <v>0</v>
      </c>
      <c r="H27" s="25"/>
      <c r="I27" s="25"/>
      <c r="J27" s="12">
        <f t="shared" si="4"/>
        <v>0</v>
      </c>
      <c r="K27" s="8"/>
      <c r="L27" s="8"/>
      <c r="M27" s="8"/>
    </row>
    <row r="28" spans="1:13" ht="13" customHeight="1" x14ac:dyDescent="0.5">
      <c r="A28" s="3"/>
      <c r="B28" s="6" t="b">
        <v>0</v>
      </c>
      <c r="C28" s="8" t="s">
        <v>31</v>
      </c>
      <c r="D28" s="8" t="s">
        <v>4</v>
      </c>
      <c r="E28" s="8">
        <v>1</v>
      </c>
      <c r="F28" s="8">
        <v>0.08</v>
      </c>
      <c r="G28" s="18">
        <f>invVäggArea</f>
        <v>0</v>
      </c>
      <c r="H28" s="25"/>
      <c r="I28" s="25"/>
      <c r="J28" s="12">
        <f t="shared" si="4"/>
        <v>0</v>
      </c>
      <c r="K28" s="8"/>
      <c r="L28" s="8"/>
      <c r="M28" s="8"/>
    </row>
    <row r="29" spans="1:13" ht="13" customHeight="1" x14ac:dyDescent="0.5">
      <c r="A29" s="3"/>
      <c r="B29" s="6" t="b">
        <v>0</v>
      </c>
      <c r="C29" s="8" t="s">
        <v>32</v>
      </c>
      <c r="D29" s="8" t="s">
        <v>4</v>
      </c>
      <c r="E29" s="8">
        <v>1.67</v>
      </c>
      <c r="F29" s="8">
        <v>0.13</v>
      </c>
      <c r="G29" s="18">
        <f>invVäggArea</f>
        <v>0</v>
      </c>
      <c r="H29" s="25"/>
      <c r="I29" s="25"/>
      <c r="J29" s="12">
        <f t="shared" si="4"/>
        <v>0</v>
      </c>
      <c r="K29" s="8"/>
      <c r="L29" s="8"/>
      <c r="M29" s="8"/>
    </row>
    <row r="30" spans="1:13" ht="13" customHeight="1" x14ac:dyDescent="0.5">
      <c r="A30" s="3"/>
      <c r="B30" s="6" t="b">
        <v>0</v>
      </c>
      <c r="C30" s="8" t="s">
        <v>36</v>
      </c>
      <c r="D30" s="8" t="s">
        <v>4</v>
      </c>
      <c r="E30" s="8">
        <v>3</v>
      </c>
      <c r="F30" s="8"/>
      <c r="G30" s="19"/>
      <c r="H30" s="26"/>
      <c r="I30" s="26"/>
      <c r="J30" s="12">
        <f>(G30*F30)/24</f>
        <v>0</v>
      </c>
      <c r="K30" s="8"/>
      <c r="L30" s="8"/>
      <c r="M30" s="8"/>
    </row>
    <row r="31" spans="1:13" ht="13" customHeight="1" x14ac:dyDescent="0.5">
      <c r="A31" s="3"/>
      <c r="B31" s="6" t="b">
        <v>0</v>
      </c>
      <c r="C31" s="8" t="s">
        <v>37</v>
      </c>
      <c r="D31" s="8" t="s">
        <v>4</v>
      </c>
      <c r="E31" s="8">
        <v>2.25</v>
      </c>
      <c r="F31" s="8"/>
      <c r="G31" s="19"/>
      <c r="H31" s="26"/>
      <c r="I31" s="26"/>
      <c r="J31" s="12">
        <f>(G31*F31)/24</f>
        <v>0</v>
      </c>
      <c r="K31" s="8"/>
      <c r="L31" s="8"/>
      <c r="M31" s="8"/>
    </row>
    <row r="32" spans="1:13" ht="13" customHeight="1" x14ac:dyDescent="0.5">
      <c r="A32" s="3"/>
      <c r="B32" s="6" t="b">
        <v>0</v>
      </c>
      <c r="C32" s="8" t="s">
        <v>33</v>
      </c>
      <c r="D32" s="8" t="s">
        <v>4</v>
      </c>
      <c r="E32" s="8">
        <v>11.36</v>
      </c>
      <c r="F32" s="8"/>
      <c r="G32" s="19"/>
      <c r="H32" s="26"/>
      <c r="I32" s="26"/>
      <c r="J32" s="12">
        <f>(G32*F32)/24</f>
        <v>0</v>
      </c>
      <c r="K32" s="8"/>
      <c r="L32" s="8"/>
      <c r="M32" s="8"/>
    </row>
    <row r="33" spans="1:13" ht="13" customHeight="1" x14ac:dyDescent="0.5">
      <c r="A33" s="3"/>
      <c r="B33" s="6" t="b">
        <v>0</v>
      </c>
      <c r="C33" s="8" t="s">
        <v>34</v>
      </c>
      <c r="D33" s="8" t="s">
        <v>4</v>
      </c>
      <c r="E33" s="8">
        <v>9.52</v>
      </c>
      <c r="F33" s="8"/>
      <c r="G33" s="19"/>
      <c r="H33" s="26"/>
      <c r="I33" s="26"/>
      <c r="J33" s="12">
        <f>(G33*F33)/24</f>
        <v>0</v>
      </c>
      <c r="K33" s="8"/>
      <c r="L33" s="8"/>
      <c r="M33" s="8"/>
    </row>
    <row r="34" spans="1:13" ht="13" customHeight="1" x14ac:dyDescent="0.5">
      <c r="A34" s="3"/>
      <c r="B34" s="6" t="b">
        <v>0</v>
      </c>
      <c r="C34" s="8" t="s">
        <v>35</v>
      </c>
      <c r="D34" s="8" t="s">
        <v>4</v>
      </c>
      <c r="E34" s="8"/>
      <c r="F34" s="8"/>
      <c r="G34" s="19"/>
      <c r="H34" s="26"/>
      <c r="I34" s="26"/>
      <c r="J34" s="12">
        <f>(G34*F34)/24</f>
        <v>0</v>
      </c>
      <c r="K34" s="8"/>
      <c r="L34" s="8"/>
      <c r="M34" s="8"/>
    </row>
    <row r="35" spans="1:13" ht="13" customHeight="1" thickBot="1" x14ac:dyDescent="0.55000000000000004">
      <c r="A35" s="3"/>
      <c r="B35" s="3"/>
      <c r="C35" s="8"/>
      <c r="D35" s="8"/>
      <c r="E35" s="8"/>
      <c r="F35" s="8"/>
      <c r="G35" s="21" t="s">
        <v>16</v>
      </c>
      <c r="H35" s="21"/>
      <c r="I35" s="21"/>
      <c r="J35" s="13" t="e" vm="2">
        <f>SUM(K21:K34)</f>
        <v>#VALUE!</v>
      </c>
      <c r="K35" s="8"/>
      <c r="L35" s="8"/>
      <c r="M35" s="8"/>
    </row>
    <row r="36" spans="1:13" ht="13" customHeight="1" x14ac:dyDescent="0.5">
      <c r="A36" s="3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ht="13" customHeight="1" x14ac:dyDescent="0.5">
      <c r="A37" s="3"/>
      <c r="B37" s="3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ht="13" customHeight="1" thickBot="1" x14ac:dyDescent="0.55000000000000004">
      <c r="A38" s="3"/>
      <c r="B38" s="3"/>
      <c r="C38" s="16" t="s">
        <v>84</v>
      </c>
      <c r="D38" s="8"/>
      <c r="E38" s="8"/>
      <c r="F38" s="8"/>
      <c r="G38" s="17"/>
      <c r="H38" s="17"/>
      <c r="I38" s="17"/>
      <c r="J38" s="8"/>
      <c r="K38" s="8"/>
      <c r="L38" s="8"/>
      <c r="M38" s="8"/>
    </row>
    <row r="39" spans="1:13" ht="13" customHeight="1" x14ac:dyDescent="0.5">
      <c r="A39" s="3"/>
      <c r="B39" s="9" t="b">
        <v>1</v>
      </c>
      <c r="C39" s="8" t="s">
        <v>115</v>
      </c>
      <c r="D39" s="8" t="s">
        <v>91</v>
      </c>
      <c r="E39" s="8">
        <v>1.94</v>
      </c>
      <c r="F39" s="8">
        <v>0.35</v>
      </c>
      <c r="G39" s="30">
        <f>CEILING(Stomme!H25/E39,1)</f>
        <v>13</v>
      </c>
      <c r="H39" s="33">
        <v>14</v>
      </c>
      <c r="I39" s="37">
        <f>IF($B39, IF($H39&lt;&gt;"", $H39, $G39), "")</f>
        <v>14</v>
      </c>
      <c r="J39" s="12">
        <f>IF(B39,(I39*F39)/24,"-")</f>
        <v>0.20416666666666664</v>
      </c>
      <c r="K39" s="8">
        <f>J39</f>
        <v>0.20416666666666664</v>
      </c>
      <c r="L39" s="8"/>
      <c r="M39" s="8"/>
    </row>
    <row r="40" spans="1:13" ht="13" customHeight="1" x14ac:dyDescent="0.5">
      <c r="A40" s="3"/>
      <c r="B40" s="9" t="b">
        <v>1</v>
      </c>
      <c r="C40" s="8" t="s">
        <v>92</v>
      </c>
      <c r="D40" s="8" t="s">
        <v>112</v>
      </c>
      <c r="E40" s="8">
        <v>25</v>
      </c>
      <c r="F40" s="8">
        <v>2</v>
      </c>
      <c r="G40" s="31">
        <f>CEILING(Stomme!H25/E40,1)</f>
        <v>1</v>
      </c>
      <c r="H40" s="34"/>
      <c r="I40" s="38">
        <f t="shared" ref="I40:I52" si="5">IF($B40, IF($H40&lt;&gt;"", $H40, $G40), "")</f>
        <v>1</v>
      </c>
      <c r="J40" s="12">
        <f t="shared" ref="J40:J52" si="6">IF(B40,(I40*F40)/24,"-")</f>
        <v>8.3333333333333329E-2</v>
      </c>
      <c r="K40" s="8">
        <f t="shared" ref="K40:K52" si="7">J40</f>
        <v>8.3333333333333329E-2</v>
      </c>
      <c r="L40" s="8"/>
      <c r="M40" s="8"/>
    </row>
    <row r="41" spans="1:13" ht="13" customHeight="1" x14ac:dyDescent="0.5">
      <c r="A41" s="3"/>
      <c r="B41" s="9" t="b">
        <v>1</v>
      </c>
      <c r="C41" s="8" t="s">
        <v>93</v>
      </c>
      <c r="D41" s="8" t="s">
        <v>17</v>
      </c>
      <c r="E41" s="8">
        <f>ROUNDUP(1/0.5,2)</f>
        <v>2</v>
      </c>
      <c r="F41" s="8">
        <v>0.04</v>
      </c>
      <c r="G41" s="32">
        <f>CEILING(Stomme!H25*E41,1)</f>
        <v>50</v>
      </c>
      <c r="H41" s="35"/>
      <c r="I41" s="38">
        <f t="shared" si="5"/>
        <v>50</v>
      </c>
      <c r="J41" s="12">
        <f t="shared" si="6"/>
        <v>8.3333333333333329E-2</v>
      </c>
      <c r="K41" s="8">
        <f t="shared" si="7"/>
        <v>8.3333333333333329E-2</v>
      </c>
      <c r="L41" s="8"/>
      <c r="M41" s="8"/>
    </row>
    <row r="42" spans="1:13" ht="13" customHeight="1" x14ac:dyDescent="0.5">
      <c r="A42" s="3"/>
      <c r="B42" s="9" t="b">
        <v>1</v>
      </c>
      <c r="C42" s="8" t="s">
        <v>94</v>
      </c>
      <c r="D42" s="8" t="s">
        <v>17</v>
      </c>
      <c r="E42" s="8">
        <f>ROUNDUP(1/0.6,2)</f>
        <v>1.67</v>
      </c>
      <c r="F42" s="8">
        <v>0.08</v>
      </c>
      <c r="G42" s="32">
        <f>CEILING(Stomme!H25*E42,1)</f>
        <v>42</v>
      </c>
      <c r="H42" s="35"/>
      <c r="I42" s="38">
        <f t="shared" si="5"/>
        <v>42</v>
      </c>
      <c r="J42" s="12">
        <f t="shared" si="6"/>
        <v>0.13999999999999999</v>
      </c>
      <c r="K42" s="8">
        <f t="shared" si="7"/>
        <v>0.13999999999999999</v>
      </c>
      <c r="L42" s="8"/>
      <c r="M42" s="8"/>
    </row>
    <row r="43" spans="1:13" ht="13" customHeight="1" x14ac:dyDescent="0.5">
      <c r="A43" s="3"/>
      <c r="B43" s="9" t="b">
        <v>1</v>
      </c>
      <c r="C43" s="8" t="s">
        <v>95</v>
      </c>
      <c r="D43" s="8" t="s">
        <v>17</v>
      </c>
      <c r="E43" s="8">
        <v>1</v>
      </c>
      <c r="F43" s="8">
        <v>0.4</v>
      </c>
      <c r="G43" s="32">
        <f>CEILING((takfall+150)*4,1000)/1000</f>
        <v>9</v>
      </c>
      <c r="H43" s="35"/>
      <c r="I43" s="38">
        <v>18</v>
      </c>
      <c r="J43" s="12">
        <f t="shared" si="6"/>
        <v>0.3</v>
      </c>
      <c r="K43" s="8">
        <f t="shared" si="7"/>
        <v>0.3</v>
      </c>
      <c r="L43" s="8"/>
      <c r="M43" s="8"/>
    </row>
    <row r="44" spans="1:13" ht="13" customHeight="1" x14ac:dyDescent="0.5">
      <c r="A44" s="3"/>
      <c r="B44" s="9" t="b">
        <v>1</v>
      </c>
      <c r="C44" s="8" t="s">
        <v>113</v>
      </c>
      <c r="D44" s="8" t="s">
        <v>17</v>
      </c>
      <c r="E44" s="8">
        <v>1</v>
      </c>
      <c r="F44" s="8">
        <v>0.15</v>
      </c>
      <c r="G44" s="7">
        <f>CEILING(Stomme!H21*2,1000)/1000</f>
        <v>12</v>
      </c>
      <c r="H44" s="36"/>
      <c r="I44" s="38">
        <f t="shared" si="5"/>
        <v>12</v>
      </c>
      <c r="J44" s="12">
        <f t="shared" si="6"/>
        <v>7.4999999999999997E-2</v>
      </c>
      <c r="K44" s="8">
        <f t="shared" si="7"/>
        <v>7.4999999999999997E-2</v>
      </c>
      <c r="L44" s="8"/>
      <c r="M44" s="8"/>
    </row>
    <row r="45" spans="1:13" ht="13" customHeight="1" x14ac:dyDescent="0.5">
      <c r="A45" s="3"/>
      <c r="B45" s="9" t="b">
        <v>1</v>
      </c>
      <c r="C45" s="8" t="s">
        <v>85</v>
      </c>
      <c r="D45" s="8" t="s">
        <v>17</v>
      </c>
      <c r="E45" s="8">
        <v>1</v>
      </c>
      <c r="F45" s="8">
        <v>0.15</v>
      </c>
      <c r="G45" s="7">
        <f>CEILING(takfall*4,1000)/1000</f>
        <v>8</v>
      </c>
      <c r="H45" s="36"/>
      <c r="I45" s="38">
        <f t="shared" si="5"/>
        <v>8</v>
      </c>
      <c r="J45" s="12">
        <f t="shared" si="6"/>
        <v>4.9999999999999996E-2</v>
      </c>
      <c r="K45" s="8">
        <f t="shared" si="7"/>
        <v>4.9999999999999996E-2</v>
      </c>
      <c r="L45" s="8"/>
      <c r="M45" s="8"/>
    </row>
    <row r="46" spans="1:13" ht="13" customHeight="1" x14ac:dyDescent="0.5">
      <c r="A46" s="3"/>
      <c r="B46" s="9" t="b">
        <v>1</v>
      </c>
      <c r="C46" s="8" t="s">
        <v>86</v>
      </c>
      <c r="D46" s="8" t="s">
        <v>4</v>
      </c>
      <c r="E46" s="8">
        <v>1</v>
      </c>
      <c r="F46" s="8">
        <v>0.25</v>
      </c>
      <c r="G46" s="7">
        <f>CEILING(Stomme!H24,1)</f>
        <v>23</v>
      </c>
      <c r="H46" s="36"/>
      <c r="I46" s="38">
        <f t="shared" si="5"/>
        <v>23</v>
      </c>
      <c r="J46" s="12">
        <f t="shared" si="6"/>
        <v>0.23958333333333334</v>
      </c>
      <c r="K46" s="8">
        <f t="shared" si="7"/>
        <v>0.23958333333333334</v>
      </c>
      <c r="L46" s="8"/>
      <c r="M46" s="8">
        <f>CEILING(Stomme!H21/1000,1)*2</f>
        <v>12</v>
      </c>
    </row>
    <row r="47" spans="1:13" ht="13" customHeight="1" x14ac:dyDescent="0.5">
      <c r="A47" s="3"/>
      <c r="B47" s="9" t="b">
        <v>1</v>
      </c>
      <c r="C47" s="8" t="s">
        <v>87</v>
      </c>
      <c r="D47" s="8" t="s">
        <v>91</v>
      </c>
      <c r="E47" s="8">
        <v>1</v>
      </c>
      <c r="F47" s="8">
        <v>0.12</v>
      </c>
      <c r="G47" s="7">
        <f>CEILING(Stomme!H21/1900,1)*2</f>
        <v>8</v>
      </c>
      <c r="H47" s="36"/>
      <c r="I47" s="38">
        <f t="shared" si="5"/>
        <v>8</v>
      </c>
      <c r="J47" s="12">
        <f t="shared" si="6"/>
        <v>0.04</v>
      </c>
      <c r="K47" s="8">
        <f t="shared" si="7"/>
        <v>0.04</v>
      </c>
      <c r="L47" s="8"/>
      <c r="M47" s="8"/>
    </row>
    <row r="48" spans="1:13" ht="13" customHeight="1" x14ac:dyDescent="0.5">
      <c r="B48" s="9" t="b">
        <v>1</v>
      </c>
      <c r="C48" s="8" t="s">
        <v>88</v>
      </c>
      <c r="D48" s="8" t="s">
        <v>91</v>
      </c>
      <c r="E48" s="8">
        <v>1.9</v>
      </c>
      <c r="F48" s="8">
        <v>0.4</v>
      </c>
      <c r="G48" s="7">
        <f>CEILING((takfall/(E48*1000))*2,1)*2</f>
        <v>6</v>
      </c>
      <c r="H48" s="36"/>
      <c r="I48" s="38">
        <f t="shared" si="5"/>
        <v>6</v>
      </c>
      <c r="J48" s="12">
        <f t="shared" si="6"/>
        <v>0.10000000000000002</v>
      </c>
      <c r="K48" s="8">
        <f t="shared" si="7"/>
        <v>0.10000000000000002</v>
      </c>
      <c r="L48" s="8"/>
      <c r="M48" s="8"/>
    </row>
    <row r="49" spans="1:13" ht="13" customHeight="1" x14ac:dyDescent="0.5">
      <c r="B49" s="9" t="b">
        <v>1</v>
      </c>
      <c r="C49" s="8" t="s">
        <v>89</v>
      </c>
      <c r="D49" s="8" t="s">
        <v>91</v>
      </c>
      <c r="E49" s="8">
        <v>1.9</v>
      </c>
      <c r="F49" s="8">
        <v>0.4</v>
      </c>
      <c r="G49" s="7">
        <f>CEILING(Stomme!H21,1000)/1000/CEILING(E49,1)</f>
        <v>3</v>
      </c>
      <c r="H49" s="36"/>
      <c r="I49" s="38">
        <f t="shared" si="5"/>
        <v>3</v>
      </c>
      <c r="J49" s="12">
        <f t="shared" si="6"/>
        <v>5.000000000000001E-2</v>
      </c>
      <c r="K49" s="8">
        <f t="shared" si="7"/>
        <v>5.000000000000001E-2</v>
      </c>
      <c r="L49" s="8"/>
      <c r="M49" s="8"/>
    </row>
    <row r="50" spans="1:13" ht="13" customHeight="1" x14ac:dyDescent="0.5">
      <c r="B50" s="9" t="b">
        <v>1</v>
      </c>
      <c r="C50" s="8" t="s">
        <v>90</v>
      </c>
      <c r="D50" s="8" t="s">
        <v>17</v>
      </c>
      <c r="E50" s="8">
        <v>1</v>
      </c>
      <c r="F50" s="8">
        <v>0.06</v>
      </c>
      <c r="G50" s="7">
        <f>CEILING(Stomme!H21,1000)/1000*2</f>
        <v>12</v>
      </c>
      <c r="H50" s="36"/>
      <c r="I50" s="38">
        <f t="shared" si="5"/>
        <v>12</v>
      </c>
      <c r="J50" s="12">
        <f t="shared" si="6"/>
        <v>0.03</v>
      </c>
      <c r="K50" s="8">
        <f t="shared" si="7"/>
        <v>0.03</v>
      </c>
      <c r="L50" s="8"/>
      <c r="M50" s="8"/>
    </row>
    <row r="51" spans="1:13" ht="13" customHeight="1" x14ac:dyDescent="0.45">
      <c r="B51" s="2" t="b">
        <v>1</v>
      </c>
      <c r="C51" s="8" t="s">
        <v>96</v>
      </c>
      <c r="D51" s="8" t="s">
        <v>91</v>
      </c>
      <c r="E51" s="8">
        <v>6</v>
      </c>
      <c r="F51" s="8">
        <v>0.01</v>
      </c>
      <c r="G51" s="7">
        <f>CEILING(takArea*E51,1)</f>
        <v>136</v>
      </c>
      <c r="H51" s="36"/>
      <c r="I51" s="38">
        <f t="shared" si="5"/>
        <v>136</v>
      </c>
      <c r="J51" s="12">
        <f t="shared" si="6"/>
        <v>5.6666666666666671E-2</v>
      </c>
      <c r="K51" s="8">
        <f t="shared" si="7"/>
        <v>5.6666666666666671E-2</v>
      </c>
      <c r="L51" s="8"/>
      <c r="M51" s="8"/>
    </row>
    <row r="52" spans="1:13" ht="13" customHeight="1" x14ac:dyDescent="0.45">
      <c r="B52" s="2" t="b">
        <v>1</v>
      </c>
      <c r="C52" s="8" t="s">
        <v>97</v>
      </c>
      <c r="D52" s="8" t="s">
        <v>91</v>
      </c>
      <c r="E52" s="8">
        <v>3</v>
      </c>
      <c r="F52" s="8"/>
      <c r="G52" s="7">
        <f>CEILING((takArea*E52)+(G49*8),1)</f>
        <v>92</v>
      </c>
      <c r="H52" s="36"/>
      <c r="I52" s="37">
        <f t="shared" si="5"/>
        <v>92</v>
      </c>
      <c r="J52" s="12">
        <f t="shared" si="6"/>
        <v>0</v>
      </c>
      <c r="K52" s="8">
        <f t="shared" si="7"/>
        <v>0</v>
      </c>
      <c r="L52" s="8"/>
      <c r="M52" s="8"/>
    </row>
    <row r="53" spans="1:13" ht="13" customHeight="1" thickBot="1" x14ac:dyDescent="0.5">
      <c r="C53" s="8"/>
      <c r="D53" s="8"/>
      <c r="E53" s="8"/>
      <c r="F53" s="8"/>
      <c r="G53" s="21" t="s">
        <v>16</v>
      </c>
      <c r="H53" s="21"/>
      <c r="I53" s="21"/>
      <c r="J53" s="22">
        <f>SUM(K39:K52)</f>
        <v>1.4520833333333334</v>
      </c>
      <c r="K53" s="8"/>
      <c r="L53" s="8"/>
      <c r="M53" s="8"/>
    </row>
    <row r="54" spans="1:13" ht="13" customHeight="1" x14ac:dyDescent="0.45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ht="13" customHeight="1" x14ac:dyDescent="0.45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13" ht="13" customHeight="1" x14ac:dyDescent="0.45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3" ht="13" customHeight="1" thickBot="1" x14ac:dyDescent="0.55000000000000004">
      <c r="A57" s="3"/>
      <c r="B57" s="3"/>
      <c r="C57" s="16" t="s">
        <v>110</v>
      </c>
      <c r="D57" s="8"/>
      <c r="E57" s="8"/>
      <c r="F57" s="8"/>
      <c r="G57" s="17"/>
      <c r="H57" s="17"/>
      <c r="I57" s="17"/>
      <c r="J57" s="8"/>
      <c r="K57" s="8"/>
      <c r="L57" s="8"/>
      <c r="M57" s="8"/>
    </row>
    <row r="58" spans="1:13" ht="13" customHeight="1" x14ac:dyDescent="0.5">
      <c r="A58" s="3"/>
      <c r="B58" s="9" t="b">
        <v>1</v>
      </c>
      <c r="C58" s="8" t="s">
        <v>111</v>
      </c>
      <c r="D58" s="8" t="s">
        <v>91</v>
      </c>
      <c r="E58" s="8">
        <v>1.94</v>
      </c>
      <c r="F58" s="8">
        <v>0.25</v>
      </c>
      <c r="G58" s="30">
        <f>CEILING(Stomme!H44/E58,1)</f>
        <v>0</v>
      </c>
      <c r="H58" s="33">
        <v>15</v>
      </c>
      <c r="I58" s="37">
        <f>IF($B58, IF($H58&lt;&gt;"", $H58, $G58), "")</f>
        <v>15</v>
      </c>
      <c r="J58" s="12">
        <f>IF(B58,(I58*F58)/24,"-")</f>
        <v>0.15625</v>
      </c>
      <c r="K58" s="8">
        <f>J58</f>
        <v>0.15625</v>
      </c>
      <c r="L58" s="8"/>
      <c r="M58" s="8"/>
    </row>
    <row r="59" spans="1:13" ht="13" customHeight="1" x14ac:dyDescent="0.45"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ht="13" customHeight="1" x14ac:dyDescent="0.45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ht="13" customHeight="1" x14ac:dyDescent="0.45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ht="13" customHeight="1" x14ac:dyDescent="0.45"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3" ht="13" customHeight="1" x14ac:dyDescent="0.45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3" ht="13" customHeight="1" x14ac:dyDescent="0.45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3:13" ht="13" customHeight="1" x14ac:dyDescent="0.45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3:13" ht="13" customHeight="1" x14ac:dyDescent="0.45"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3:13" ht="13" customHeight="1" x14ac:dyDescent="0.45"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3:13" ht="13" customHeight="1" x14ac:dyDescent="0.45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3:13" ht="13" customHeight="1" x14ac:dyDescent="0.45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3:13" ht="13" customHeight="1" x14ac:dyDescent="0.45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3:13" ht="13" customHeight="1" x14ac:dyDescent="0.45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3:13" ht="13" customHeight="1" x14ac:dyDescent="0.45"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3:13" x14ac:dyDescent="0.45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3:13" x14ac:dyDescent="0.45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3:13" x14ac:dyDescent="0.45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3:13" x14ac:dyDescent="0.45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3:13" x14ac:dyDescent="0.45"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</sheetData>
  <conditionalFormatting sqref="C6:C17 C21:C34 C39:C52">
    <cfRule type="expression" dxfId="1" priority="2">
      <formula>$B6=FALSE</formula>
    </cfRule>
  </conditionalFormatting>
  <conditionalFormatting sqref="C58">
    <cfRule type="expression" dxfId="0" priority="1">
      <formula>$B58=FALSE</formula>
    </cfRule>
  </conditionalFormatting>
  <pageMargins left="0.25" right="0.25" top="0.75" bottom="0.75" header="0.3" footer="0.3"/>
  <pageSetup paperSize="9" orientation="landscape" horizontalDpi="0" verticalDpi="0" r:id="rId1"/>
  <headerFooter>
    <oddHeader>&amp;L&amp;10PROJEKT: TEST&amp;C&amp;10DATUM: 20250628</oddHeader>
    <oddFooter>&amp;RPage &amp;P of &amp;N</oddFooter>
  </headerFooter>
  <ignoredErrors>
    <ignoredError sqref="J13" formula="1"/>
    <ignoredError xmlns:x16r3="http://schemas.microsoft.com/office/spreadsheetml/2018/08/main" sqref="K39:K50" x16r3:misleadingForma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3</xdr:row>
                    <xdr:rowOff>108857</xdr:rowOff>
                  </from>
                  <to>
                    <xdr:col>2</xdr:col>
                    <xdr:colOff>81643</xdr:colOff>
                    <xdr:row>6</xdr:row>
                    <xdr:rowOff>130629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114300</xdr:rowOff>
                  </from>
                  <to>
                    <xdr:col>2</xdr:col>
                    <xdr:colOff>81643</xdr:colOff>
                    <xdr:row>7</xdr:row>
                    <xdr:rowOff>59871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0</xdr:colOff>
                    <xdr:row>7</xdr:row>
                    <xdr:rowOff>141514</xdr:rowOff>
                  </from>
                  <to>
                    <xdr:col>2</xdr:col>
                    <xdr:colOff>81643</xdr:colOff>
                    <xdr:row>9</xdr:row>
                    <xdr:rowOff>21771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0</xdr:col>
                    <xdr:colOff>81643</xdr:colOff>
                    <xdr:row>9</xdr:row>
                    <xdr:rowOff>5443</xdr:rowOff>
                  </from>
                  <to>
                    <xdr:col>2</xdr:col>
                    <xdr:colOff>81643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114300</xdr:rowOff>
                  </from>
                  <to>
                    <xdr:col>2</xdr:col>
                    <xdr:colOff>81643</xdr:colOff>
                    <xdr:row>11</xdr:row>
                    <xdr:rowOff>48986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5443</xdr:colOff>
                    <xdr:row>10</xdr:row>
                    <xdr:rowOff>119743</xdr:rowOff>
                  </from>
                  <to>
                    <xdr:col>2</xdr:col>
                    <xdr:colOff>87086</xdr:colOff>
                    <xdr:row>12</xdr:row>
                    <xdr:rowOff>54429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5443</xdr:colOff>
                    <xdr:row>11</xdr:row>
                    <xdr:rowOff>157843</xdr:rowOff>
                  </from>
                  <to>
                    <xdr:col>2</xdr:col>
                    <xdr:colOff>87086</xdr:colOff>
                    <xdr:row>13</xdr:row>
                    <xdr:rowOff>21771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5443</xdr:colOff>
                    <xdr:row>12</xdr:row>
                    <xdr:rowOff>157843</xdr:rowOff>
                  </from>
                  <to>
                    <xdr:col>2</xdr:col>
                    <xdr:colOff>87086</xdr:colOff>
                    <xdr:row>14</xdr:row>
                    <xdr:rowOff>16329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5443</xdr:colOff>
                    <xdr:row>13</xdr:row>
                    <xdr:rowOff>152400</xdr:rowOff>
                  </from>
                  <to>
                    <xdr:col>2</xdr:col>
                    <xdr:colOff>87086</xdr:colOff>
                    <xdr:row>15</xdr:row>
                    <xdr:rowOff>16329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5443</xdr:colOff>
                    <xdr:row>14</xdr:row>
                    <xdr:rowOff>125186</xdr:rowOff>
                  </from>
                  <to>
                    <xdr:col>2</xdr:col>
                    <xdr:colOff>87086</xdr:colOff>
                    <xdr:row>16</xdr:row>
                    <xdr:rowOff>59871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125186</xdr:rowOff>
                  </from>
                  <to>
                    <xdr:col>2</xdr:col>
                    <xdr:colOff>81643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0</xdr:colOff>
                    <xdr:row>19</xdr:row>
                    <xdr:rowOff>136071</xdr:rowOff>
                  </from>
                  <to>
                    <xdr:col>2</xdr:col>
                    <xdr:colOff>81643</xdr:colOff>
                    <xdr:row>21</xdr:row>
                    <xdr:rowOff>48986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0</xdr:colOff>
                    <xdr:row>20</xdr:row>
                    <xdr:rowOff>146957</xdr:rowOff>
                  </from>
                  <to>
                    <xdr:col>2</xdr:col>
                    <xdr:colOff>81643</xdr:colOff>
                    <xdr:row>22</xdr:row>
                    <xdr:rowOff>16329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locked="0" defaultSize="0" autoFill="0" autoLine="0" autoPict="0">
                <anchor moveWithCells="1">
                  <from>
                    <xdr:col>1</xdr:col>
                    <xdr:colOff>0</xdr:colOff>
                    <xdr:row>21</xdr:row>
                    <xdr:rowOff>157843</xdr:rowOff>
                  </from>
                  <to>
                    <xdr:col>2</xdr:col>
                    <xdr:colOff>81643</xdr:colOff>
                    <xdr:row>23</xdr:row>
                    <xdr:rowOff>21771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0</xdr:col>
                    <xdr:colOff>76200</xdr:colOff>
                    <xdr:row>23</xdr:row>
                    <xdr:rowOff>16329</xdr:rowOff>
                  </from>
                  <to>
                    <xdr:col>2</xdr:col>
                    <xdr:colOff>76200</xdr:colOff>
                    <xdr:row>23</xdr:row>
                    <xdr:rowOff>157843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0</xdr:col>
                    <xdr:colOff>76200</xdr:colOff>
                    <xdr:row>24</xdr:row>
                    <xdr:rowOff>5443</xdr:rowOff>
                  </from>
                  <to>
                    <xdr:col>2</xdr:col>
                    <xdr:colOff>76200</xdr:colOff>
                    <xdr:row>24</xdr:row>
                    <xdr:rowOff>163286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0</xdr:col>
                    <xdr:colOff>76200</xdr:colOff>
                    <xdr:row>24</xdr:row>
                    <xdr:rowOff>130629</xdr:rowOff>
                  </from>
                  <to>
                    <xdr:col>2</xdr:col>
                    <xdr:colOff>76200</xdr:colOff>
                    <xdr:row>26</xdr:row>
                    <xdr:rowOff>48986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0</xdr:col>
                    <xdr:colOff>76200</xdr:colOff>
                    <xdr:row>25</xdr:row>
                    <xdr:rowOff>152400</xdr:rowOff>
                  </from>
                  <to>
                    <xdr:col>2</xdr:col>
                    <xdr:colOff>76200</xdr:colOff>
                    <xdr:row>27</xdr:row>
                    <xdr:rowOff>32657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0</xdr:col>
                    <xdr:colOff>76200</xdr:colOff>
                    <xdr:row>27</xdr:row>
                    <xdr:rowOff>163286</xdr:rowOff>
                  </from>
                  <to>
                    <xdr:col>2</xdr:col>
                    <xdr:colOff>76200</xdr:colOff>
                    <xdr:row>29</xdr:row>
                    <xdr:rowOff>10886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0</xdr:col>
                    <xdr:colOff>76200</xdr:colOff>
                    <xdr:row>26</xdr:row>
                    <xdr:rowOff>157843</xdr:rowOff>
                  </from>
                  <to>
                    <xdr:col>2</xdr:col>
                    <xdr:colOff>76200</xdr:colOff>
                    <xdr:row>28</xdr:row>
                    <xdr:rowOff>16329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0</xdr:colOff>
                    <xdr:row>29</xdr:row>
                    <xdr:rowOff>163286</xdr:rowOff>
                  </from>
                  <to>
                    <xdr:col>2</xdr:col>
                    <xdr:colOff>81643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0</xdr:col>
                    <xdr:colOff>76200</xdr:colOff>
                    <xdr:row>28</xdr:row>
                    <xdr:rowOff>163286</xdr:rowOff>
                  </from>
                  <to>
                    <xdr:col>2</xdr:col>
                    <xdr:colOff>76200</xdr:colOff>
                    <xdr:row>30</xdr:row>
                    <xdr:rowOff>10886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0</xdr:colOff>
                    <xdr:row>30</xdr:row>
                    <xdr:rowOff>163286</xdr:rowOff>
                  </from>
                  <to>
                    <xdr:col>2</xdr:col>
                    <xdr:colOff>81643</xdr:colOff>
                    <xdr:row>32</xdr:row>
                    <xdr:rowOff>5443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0</xdr:colOff>
                    <xdr:row>32</xdr:row>
                    <xdr:rowOff>5443</xdr:rowOff>
                  </from>
                  <to>
                    <xdr:col>2</xdr:col>
                    <xdr:colOff>81643</xdr:colOff>
                    <xdr:row>33</xdr:row>
                    <xdr:rowOff>10886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0</xdr:colOff>
                    <xdr:row>32</xdr:row>
                    <xdr:rowOff>163286</xdr:rowOff>
                  </from>
                  <to>
                    <xdr:col>2</xdr:col>
                    <xdr:colOff>81643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125186</xdr:rowOff>
                  </from>
                  <to>
                    <xdr:col>2</xdr:col>
                    <xdr:colOff>92529</xdr:colOff>
                    <xdr:row>17</xdr:row>
                    <xdr:rowOff>59871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0</xdr:colOff>
                    <xdr:row>39</xdr:row>
                    <xdr:rowOff>16329</xdr:rowOff>
                  </from>
                  <to>
                    <xdr:col>2</xdr:col>
                    <xdr:colOff>81643</xdr:colOff>
                    <xdr:row>40</xdr:row>
                    <xdr:rowOff>5443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0</xdr:colOff>
                    <xdr:row>40</xdr:row>
                    <xdr:rowOff>10886</xdr:rowOff>
                  </from>
                  <to>
                    <xdr:col>2</xdr:col>
                    <xdr:colOff>81643</xdr:colOff>
                    <xdr:row>40</xdr:row>
                    <xdr:rowOff>163286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0</xdr:colOff>
                    <xdr:row>41</xdr:row>
                    <xdr:rowOff>10886</xdr:rowOff>
                  </from>
                  <to>
                    <xdr:col>2</xdr:col>
                    <xdr:colOff>81643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0</xdr:colOff>
                    <xdr:row>42</xdr:row>
                    <xdr:rowOff>10886</xdr:rowOff>
                  </from>
                  <to>
                    <xdr:col>2</xdr:col>
                    <xdr:colOff>81643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0</xdr:colOff>
                    <xdr:row>43</xdr:row>
                    <xdr:rowOff>10886</xdr:rowOff>
                  </from>
                  <to>
                    <xdr:col>2</xdr:col>
                    <xdr:colOff>81643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35" name="Check Box 42">
              <controlPr defaultSize="0" autoFill="0" autoLine="0" autoPict="0">
                <anchor moveWithCells="1">
                  <from>
                    <xdr:col>1</xdr:col>
                    <xdr:colOff>0</xdr:colOff>
                    <xdr:row>44</xdr:row>
                    <xdr:rowOff>10886</xdr:rowOff>
                  </from>
                  <to>
                    <xdr:col>2</xdr:col>
                    <xdr:colOff>81643</xdr:colOff>
                    <xdr:row>44</xdr:row>
                    <xdr:rowOff>163286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36" name="Check Box 43">
              <controlPr defaultSize="0" autoFill="0" autoLine="0" autoPict="0">
                <anchor moveWithCells="1">
                  <from>
                    <xdr:col>0</xdr:col>
                    <xdr:colOff>76200</xdr:colOff>
                    <xdr:row>45</xdr:row>
                    <xdr:rowOff>10886</xdr:rowOff>
                  </from>
                  <to>
                    <xdr:col>2</xdr:col>
                    <xdr:colOff>76200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37" name="Check Box 44">
              <controlPr defaultSize="0" autoFill="0" autoLine="0" autoPict="0">
                <anchor moveWithCells="1">
                  <from>
                    <xdr:col>0</xdr:col>
                    <xdr:colOff>76200</xdr:colOff>
                    <xdr:row>46</xdr:row>
                    <xdr:rowOff>10886</xdr:rowOff>
                  </from>
                  <to>
                    <xdr:col>2</xdr:col>
                    <xdr:colOff>76200</xdr:colOff>
                    <xdr:row>46</xdr:row>
                    <xdr:rowOff>157843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38" name="Check Box 45">
              <controlPr defaultSize="0" autoFill="0" autoLine="0" autoPict="0">
                <anchor moveWithCells="1">
                  <from>
                    <xdr:col>0</xdr:col>
                    <xdr:colOff>76200</xdr:colOff>
                    <xdr:row>46</xdr:row>
                    <xdr:rowOff>157843</xdr:rowOff>
                  </from>
                  <to>
                    <xdr:col>2</xdr:col>
                    <xdr:colOff>76200</xdr:colOff>
                    <xdr:row>48</xdr:row>
                    <xdr:rowOff>16329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39" name="Check Box 46">
              <controlPr defaultSize="0" autoFill="0" autoLine="0" autoPict="0">
                <anchor moveWithCells="1">
                  <from>
                    <xdr:col>0</xdr:col>
                    <xdr:colOff>76200</xdr:colOff>
                    <xdr:row>47</xdr:row>
                    <xdr:rowOff>163286</xdr:rowOff>
                  </from>
                  <to>
                    <xdr:col>2</xdr:col>
                    <xdr:colOff>76200</xdr:colOff>
                    <xdr:row>49</xdr:row>
                    <xdr:rowOff>10886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40" name="Check Box 47">
              <controlPr defaultSize="0" autoFill="0" autoLine="0" autoPict="0">
                <anchor moveWithCells="1">
                  <from>
                    <xdr:col>0</xdr:col>
                    <xdr:colOff>76200</xdr:colOff>
                    <xdr:row>49</xdr:row>
                    <xdr:rowOff>16329</xdr:rowOff>
                  </from>
                  <to>
                    <xdr:col>2</xdr:col>
                    <xdr:colOff>76200</xdr:colOff>
                    <xdr:row>50</xdr:row>
                    <xdr:rowOff>10886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41" name="Check Box 48">
              <controlPr defaultSize="0" autoFill="0" autoLine="0" autoPict="0">
                <anchor moveWithCells="1">
                  <from>
                    <xdr:col>1</xdr:col>
                    <xdr:colOff>0</xdr:colOff>
                    <xdr:row>38</xdr:row>
                    <xdr:rowOff>16329</xdr:rowOff>
                  </from>
                  <to>
                    <xdr:col>2</xdr:col>
                    <xdr:colOff>81643</xdr:colOff>
                    <xdr:row>39</xdr:row>
                    <xdr:rowOff>5443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42" name="Check Box 50">
              <controlPr defaultSize="0" autoFill="0" autoLine="0" autoPict="0">
                <anchor moveWithCells="1">
                  <from>
                    <xdr:col>0</xdr:col>
                    <xdr:colOff>76200</xdr:colOff>
                    <xdr:row>50</xdr:row>
                    <xdr:rowOff>5443</xdr:rowOff>
                  </from>
                  <to>
                    <xdr:col>2</xdr:col>
                    <xdr:colOff>76200</xdr:colOff>
                    <xdr:row>51</xdr:row>
                    <xdr:rowOff>10886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43" name="Check Box 51">
              <controlPr defaultSize="0" autoFill="0" autoLine="0" autoPict="0">
                <anchor moveWithCells="1">
                  <from>
                    <xdr:col>1</xdr:col>
                    <xdr:colOff>0</xdr:colOff>
                    <xdr:row>51</xdr:row>
                    <xdr:rowOff>16329</xdr:rowOff>
                  </from>
                  <to>
                    <xdr:col>2</xdr:col>
                    <xdr:colOff>81643</xdr:colOff>
                    <xdr:row>51</xdr:row>
                    <xdr:rowOff>163286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44" name="Check Box 52">
              <controlPr defaultSize="0" autoFill="0" autoLine="0" autoPict="0">
                <anchor moveWithCells="1">
                  <from>
                    <xdr:col>1</xdr:col>
                    <xdr:colOff>0</xdr:colOff>
                    <xdr:row>57</xdr:row>
                    <xdr:rowOff>16329</xdr:rowOff>
                  </from>
                  <to>
                    <xdr:col>2</xdr:col>
                    <xdr:colOff>81643</xdr:colOff>
                    <xdr:row>58</xdr:row>
                    <xdr:rowOff>5443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151D-2735-4DF1-B2DA-A28732EF438D}">
  <dimension ref="B3:G23"/>
  <sheetViews>
    <sheetView workbookViewId="0">
      <selection activeCell="D6" sqref="D6"/>
    </sheetView>
  </sheetViews>
  <sheetFormatPr defaultRowHeight="15.9" x14ac:dyDescent="0.45"/>
  <cols>
    <col min="2" max="2" width="22.92578125" bestFit="1" customWidth="1"/>
    <col min="3" max="3" width="3.35546875" customWidth="1"/>
    <col min="4" max="4" width="9.28515625" bestFit="1" customWidth="1"/>
  </cols>
  <sheetData>
    <row r="3" spans="2:7" x14ac:dyDescent="0.45">
      <c r="B3" t="s">
        <v>107</v>
      </c>
      <c r="E3" t="s">
        <v>108</v>
      </c>
      <c r="F3" t="s">
        <v>109</v>
      </c>
    </row>
    <row r="5" spans="2:7" ht="16.3" thickBot="1" x14ac:dyDescent="0.5">
      <c r="B5" s="39" t="s">
        <v>117</v>
      </c>
      <c r="C5" s="39"/>
      <c r="D5" s="39" t="s">
        <v>2</v>
      </c>
      <c r="E5" s="39" t="s">
        <v>1</v>
      </c>
      <c r="F5" s="39" t="s">
        <v>116</v>
      </c>
      <c r="G5" s="39"/>
    </row>
    <row r="6" spans="2:7" ht="16.3" thickTop="1" x14ac:dyDescent="0.45">
      <c r="B6" t="str" cm="1">
        <f t="array" ref="B6:B23">_xlfn._xlws.FILTER(Tidskalkyl!C:C, Tidskalkyl!B:B=TRUE, "")</f>
        <v>Golvreglar 45x145-220</v>
      </c>
      <c r="D6" s="24" cm="1">
        <f t="array" ref="D6:D23">_xlfn._xlws.FILTER(Tidskalkyl!I:I, Tidskalkyl!B:B=TRUE, "")</f>
        <v>23.212332</v>
      </c>
      <c r="E6" t="str" cm="1">
        <f t="array" ref="E6:E23">_xlfn._xlws.FILTER(Tidskalkyl!D:D, Tidskalkyl!B:B=TRUE, "")</f>
        <v>lm</v>
      </c>
      <c r="F6" t="s">
        <v>114</v>
      </c>
    </row>
    <row r="7" spans="2:7" x14ac:dyDescent="0.45">
      <c r="B7" t="str">
        <v>Stödregel 45x45</v>
      </c>
      <c r="D7" s="24">
        <v>5.72</v>
      </c>
      <c r="E7" t="str">
        <v>lm</v>
      </c>
      <c r="F7" t="s">
        <v>119</v>
      </c>
    </row>
    <row r="8" spans="2:7" x14ac:dyDescent="0.45">
      <c r="B8" t="str">
        <v>Trallgolv 120mm 9,52m/m2</v>
      </c>
      <c r="D8" s="24">
        <v>116.75664000000002</v>
      </c>
      <c r="E8" t="str">
        <v>lm</v>
      </c>
    </row>
    <row r="9" spans="2:7" x14ac:dyDescent="0.45">
      <c r="B9" t="str">
        <v>Råspontslucka</v>
      </c>
      <c r="D9">
        <v>14</v>
      </c>
      <c r="E9" t="str">
        <v>st</v>
      </c>
    </row>
    <row r="10" spans="2:7" x14ac:dyDescent="0.45">
      <c r="B10" t="str">
        <v>Underlagspapp 25x1m</v>
      </c>
      <c r="D10">
        <v>1</v>
      </c>
      <c r="E10" t="str">
        <v>rul</v>
      </c>
    </row>
    <row r="11" spans="2:7" x14ac:dyDescent="0.45">
      <c r="B11" t="str">
        <v>Ströläkt 12x50 c/c 0,6</v>
      </c>
      <c r="D11">
        <v>50</v>
      </c>
      <c r="E11" t="str">
        <v>lm</v>
      </c>
    </row>
    <row r="12" spans="2:7" x14ac:dyDescent="0.45">
      <c r="B12" t="str">
        <v>Bärläkt 28x70 c/c 0,5</v>
      </c>
      <c r="D12">
        <v>42</v>
      </c>
      <c r="E12" t="str">
        <v>lm</v>
      </c>
    </row>
    <row r="13" spans="2:7" x14ac:dyDescent="0.45">
      <c r="B13" t="str">
        <v>Vindskivor 22x145</v>
      </c>
      <c r="D13">
        <v>18</v>
      </c>
      <c r="E13" t="str">
        <v>lm</v>
      </c>
    </row>
    <row r="14" spans="2:7" x14ac:dyDescent="0.45">
      <c r="B14" t="str">
        <v>Takfotsbräda 22x145</v>
      </c>
      <c r="D14">
        <v>12</v>
      </c>
      <c r="E14" t="str">
        <v>lm</v>
      </c>
    </row>
    <row r="15" spans="2:7" x14ac:dyDescent="0.45">
      <c r="B15" t="str">
        <v>Vindskiveregel 45x45</v>
      </c>
      <c r="D15">
        <v>8</v>
      </c>
      <c r="E15" t="str">
        <v>lm</v>
      </c>
    </row>
    <row r="16" spans="2:7" x14ac:dyDescent="0.45">
      <c r="B16" t="str">
        <v>Takplåt</v>
      </c>
      <c r="D16">
        <v>23</v>
      </c>
      <c r="E16" t="str">
        <v>m2</v>
      </c>
      <c r="F16" t="s">
        <v>118</v>
      </c>
    </row>
    <row r="17" spans="2:5" x14ac:dyDescent="0.45">
      <c r="B17" t="str">
        <v>Fotplåt</v>
      </c>
      <c r="D17">
        <v>8</v>
      </c>
      <c r="E17" t="str">
        <v>st</v>
      </c>
    </row>
    <row r="18" spans="2:5" x14ac:dyDescent="0.45">
      <c r="B18" t="str">
        <v>Vindskiveplåt</v>
      </c>
      <c r="D18">
        <v>6</v>
      </c>
      <c r="E18" t="str">
        <v>st</v>
      </c>
    </row>
    <row r="19" spans="2:5" x14ac:dyDescent="0.45">
      <c r="B19" t="str">
        <v>Nockplåt</v>
      </c>
      <c r="D19">
        <v>3</v>
      </c>
      <c r="E19" t="str">
        <v>st</v>
      </c>
    </row>
    <row r="20" spans="2:5" x14ac:dyDescent="0.45">
      <c r="B20" t="str">
        <v>Tätband</v>
      </c>
      <c r="D20">
        <v>12</v>
      </c>
      <c r="E20" t="str">
        <v>lm</v>
      </c>
    </row>
    <row r="21" spans="2:5" x14ac:dyDescent="0.45">
      <c r="B21" t="str">
        <v>Bärläktsskruv 35mm</v>
      </c>
      <c r="D21">
        <v>136</v>
      </c>
      <c r="E21" t="str">
        <v>st</v>
      </c>
    </row>
    <row r="22" spans="2:5" x14ac:dyDescent="0.45">
      <c r="B22" t="str">
        <v>överlappsskruv 20mm</v>
      </c>
      <c r="D22">
        <v>92</v>
      </c>
      <c r="E22" t="str">
        <v>st</v>
      </c>
    </row>
    <row r="23" spans="2:5" x14ac:dyDescent="0.45">
      <c r="B23" t="str">
        <v>Betongsten 400x400x100</v>
      </c>
      <c r="D23">
        <v>15</v>
      </c>
      <c r="E23" t="str">
        <v>st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D015-B8EE-4BCD-B9C6-2D2597C8C959}">
  <dimension ref="A6:B23"/>
  <sheetViews>
    <sheetView workbookViewId="0">
      <selection activeCell="B6" sqref="B6"/>
    </sheetView>
  </sheetViews>
  <sheetFormatPr defaultRowHeight="15.9" x14ac:dyDescent="0.45"/>
  <cols>
    <col min="1" max="1" width="23.35546875" bestFit="1" customWidth="1"/>
  </cols>
  <sheetData>
    <row r="6" spans="1:2" x14ac:dyDescent="0.45">
      <c r="A6" t="str" cm="1">
        <f t="array" ref="A6:A23">_xlfn._xlws.FILTER(Tidskalkyl!C:C, Tidskalkyl!B:B=TRUE, "")</f>
        <v>Golvreglar 45x145-220</v>
      </c>
      <c r="B6" cm="1">
        <f t="array" ref="B6:B23">_xlfn._xlws.FILTER(Tidskalkyl!I:I, Tidskalkyl!B:B=TRUE, "")</f>
        <v>23.212332</v>
      </c>
    </row>
    <row r="7" spans="1:2" x14ac:dyDescent="0.45">
      <c r="A7" t="str">
        <v>Stödregel 45x45</v>
      </c>
      <c r="B7">
        <v>5.72</v>
      </c>
    </row>
    <row r="8" spans="1:2" x14ac:dyDescent="0.45">
      <c r="A8" t="str">
        <v>Trallgolv 120mm 9,52m/m2</v>
      </c>
      <c r="B8">
        <v>116.75664000000002</v>
      </c>
    </row>
    <row r="9" spans="1:2" x14ac:dyDescent="0.45">
      <c r="A9" t="str">
        <v>Råspontslucka</v>
      </c>
      <c r="B9">
        <v>14</v>
      </c>
    </row>
    <row r="10" spans="1:2" x14ac:dyDescent="0.45">
      <c r="A10" t="str">
        <v>Underlagspapp 25x1m</v>
      </c>
      <c r="B10">
        <v>1</v>
      </c>
    </row>
    <row r="11" spans="1:2" x14ac:dyDescent="0.45">
      <c r="A11" t="str">
        <v>Ströläkt 12x50 c/c 0,6</v>
      </c>
      <c r="B11">
        <v>50</v>
      </c>
    </row>
    <row r="12" spans="1:2" x14ac:dyDescent="0.45">
      <c r="A12" t="str">
        <v>Bärläkt 28x70 c/c 0,5</v>
      </c>
      <c r="B12">
        <v>42</v>
      </c>
    </row>
    <row r="13" spans="1:2" x14ac:dyDescent="0.45">
      <c r="A13" t="str">
        <v>Vindskivor 22x145</v>
      </c>
      <c r="B13">
        <v>18</v>
      </c>
    </row>
    <row r="14" spans="1:2" x14ac:dyDescent="0.45">
      <c r="A14" t="str">
        <v>Takfotsbräda 22x145</v>
      </c>
      <c r="B14">
        <v>12</v>
      </c>
    </row>
    <row r="15" spans="1:2" x14ac:dyDescent="0.45">
      <c r="A15" t="str">
        <v>Vindskiveregel 45x45</v>
      </c>
      <c r="B15">
        <v>8</v>
      </c>
    </row>
    <row r="16" spans="1:2" x14ac:dyDescent="0.45">
      <c r="A16" t="str">
        <v>Takplåt</v>
      </c>
      <c r="B16">
        <v>23</v>
      </c>
    </row>
    <row r="17" spans="1:2" x14ac:dyDescent="0.45">
      <c r="A17" t="str">
        <v>Fotplåt</v>
      </c>
      <c r="B17">
        <v>8</v>
      </c>
    </row>
    <row r="18" spans="1:2" x14ac:dyDescent="0.45">
      <c r="A18" t="str">
        <v>Vindskiveplåt</v>
      </c>
      <c r="B18">
        <v>6</v>
      </c>
    </row>
    <row r="19" spans="1:2" x14ac:dyDescent="0.45">
      <c r="A19" t="str">
        <v>Nockplåt</v>
      </c>
      <c r="B19">
        <v>3</v>
      </c>
    </row>
    <row r="20" spans="1:2" x14ac:dyDescent="0.45">
      <c r="A20" t="str">
        <v>Tätband</v>
      </c>
      <c r="B20">
        <v>12</v>
      </c>
    </row>
    <row r="21" spans="1:2" x14ac:dyDescent="0.45">
      <c r="A21" t="str">
        <v>Bärläktsskruv 35mm</v>
      </c>
      <c r="B21">
        <v>136</v>
      </c>
    </row>
    <row r="22" spans="1:2" x14ac:dyDescent="0.45">
      <c r="A22" t="str">
        <v>överlappsskruv 20mm</v>
      </c>
      <c r="B22">
        <v>92</v>
      </c>
    </row>
    <row r="23" spans="1:2" x14ac:dyDescent="0.45">
      <c r="A23" t="str">
        <v>Betongsten 400x400x100</v>
      </c>
      <c r="B23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232A-DA30-40F7-BBB9-A53540C76878}">
  <dimension ref="A5:L34"/>
  <sheetViews>
    <sheetView workbookViewId="0">
      <selection activeCell="A5" sqref="A5:XFD5"/>
    </sheetView>
  </sheetViews>
  <sheetFormatPr defaultRowHeight="15.9" x14ac:dyDescent="0.45"/>
  <cols>
    <col min="1" max="1" width="9.640625" customWidth="1"/>
    <col min="2" max="2" width="30.42578125" customWidth="1"/>
  </cols>
  <sheetData>
    <row r="5" spans="1:12" ht="13" customHeight="1" thickBot="1" x14ac:dyDescent="0.5">
      <c r="A5" s="10" t="s">
        <v>120</v>
      </c>
      <c r="B5" s="10" t="s">
        <v>0</v>
      </c>
      <c r="C5" s="20" t="s">
        <v>121</v>
      </c>
      <c r="D5" s="20" t="s">
        <v>1</v>
      </c>
      <c r="E5" s="20" t="s">
        <v>3</v>
      </c>
      <c r="F5" s="20" t="s">
        <v>2</v>
      </c>
      <c r="G5" s="20" t="s">
        <v>106</v>
      </c>
      <c r="H5" s="20" t="s">
        <v>105</v>
      </c>
      <c r="I5" s="20" t="s">
        <v>75</v>
      </c>
      <c r="J5" s="8"/>
      <c r="K5" s="7"/>
      <c r="L5" s="8"/>
    </row>
    <row r="6" spans="1:12" ht="16.3" thickTop="1" x14ac:dyDescent="0.45">
      <c r="A6" s="8">
        <v>250828</v>
      </c>
      <c r="B6" s="8" t="s">
        <v>123</v>
      </c>
      <c r="C6" s="8">
        <v>1.5</v>
      </c>
      <c r="D6" s="8" t="s">
        <v>122</v>
      </c>
      <c r="E6" s="8"/>
      <c r="F6" s="8"/>
      <c r="G6" s="8"/>
      <c r="H6" s="8"/>
      <c r="I6" s="8"/>
    </row>
    <row r="7" spans="1:12" x14ac:dyDescent="0.45">
      <c r="A7" s="8">
        <v>250829</v>
      </c>
      <c r="B7" s="8" t="s">
        <v>124</v>
      </c>
      <c r="C7" s="8">
        <v>3</v>
      </c>
      <c r="D7" s="8" t="s">
        <v>122</v>
      </c>
      <c r="E7" s="8"/>
      <c r="F7" s="8"/>
      <c r="G7" s="8"/>
      <c r="H7" s="8"/>
      <c r="I7" s="8"/>
    </row>
    <row r="8" spans="1:12" x14ac:dyDescent="0.45">
      <c r="A8" s="8">
        <v>250830</v>
      </c>
      <c r="B8" s="8" t="s">
        <v>125</v>
      </c>
      <c r="C8" s="8">
        <v>2</v>
      </c>
      <c r="D8" s="8" t="s">
        <v>122</v>
      </c>
      <c r="E8" s="8"/>
      <c r="F8" s="8"/>
      <c r="G8" s="8"/>
      <c r="H8" s="8"/>
      <c r="I8" s="8"/>
    </row>
    <row r="9" spans="1:12" x14ac:dyDescent="0.45">
      <c r="A9" s="8"/>
      <c r="B9" s="8"/>
      <c r="C9" s="8"/>
      <c r="D9" s="8"/>
      <c r="E9" s="8"/>
      <c r="F9" s="8"/>
      <c r="G9" s="8"/>
      <c r="H9" s="8"/>
      <c r="I9" s="8"/>
    </row>
    <row r="10" spans="1:12" x14ac:dyDescent="0.45">
      <c r="A10" s="8"/>
      <c r="B10" s="8"/>
      <c r="C10" s="8"/>
      <c r="D10" s="8"/>
      <c r="E10" s="8"/>
      <c r="F10" s="8"/>
      <c r="G10" s="8"/>
      <c r="H10" s="8"/>
      <c r="I10" s="8"/>
    </row>
    <row r="11" spans="1:12" x14ac:dyDescent="0.45">
      <c r="A11" s="8"/>
      <c r="B11" s="8"/>
      <c r="C11" s="8"/>
      <c r="D11" s="8"/>
      <c r="E11" s="8"/>
      <c r="F11" s="8"/>
      <c r="G11" s="8"/>
      <c r="H11" s="8"/>
      <c r="I11" s="8"/>
    </row>
    <row r="12" spans="1:12" x14ac:dyDescent="0.45">
      <c r="A12" s="8"/>
      <c r="B12" s="8"/>
      <c r="C12" s="8"/>
      <c r="D12" s="8"/>
      <c r="E12" s="8"/>
      <c r="F12" s="8"/>
      <c r="G12" s="8"/>
      <c r="H12" s="8"/>
      <c r="I12" s="8"/>
    </row>
    <row r="13" spans="1:12" x14ac:dyDescent="0.45">
      <c r="A13" s="8"/>
      <c r="B13" s="8"/>
      <c r="C13" s="8"/>
      <c r="D13" s="8"/>
      <c r="E13" s="8"/>
      <c r="F13" s="8"/>
      <c r="G13" s="8"/>
      <c r="H13" s="8"/>
      <c r="I13" s="8"/>
    </row>
    <row r="14" spans="1:12" x14ac:dyDescent="0.45">
      <c r="A14" s="8"/>
      <c r="B14" s="8"/>
      <c r="C14" s="8"/>
      <c r="D14" s="8"/>
      <c r="E14" s="8"/>
      <c r="F14" s="8"/>
      <c r="G14" s="8"/>
      <c r="H14" s="8"/>
      <c r="I14" s="8"/>
    </row>
    <row r="15" spans="1:12" x14ac:dyDescent="0.45">
      <c r="A15" s="8"/>
      <c r="B15" s="8"/>
      <c r="C15" s="8"/>
      <c r="D15" s="8"/>
      <c r="E15" s="8"/>
      <c r="F15" s="8"/>
      <c r="G15" s="8"/>
      <c r="H15" s="8"/>
      <c r="I15" s="8"/>
    </row>
    <row r="16" spans="1:12" x14ac:dyDescent="0.45">
      <c r="A16" s="8"/>
      <c r="B16" s="8"/>
      <c r="C16" s="8"/>
      <c r="D16" s="8"/>
      <c r="E16" s="8"/>
      <c r="F16" s="8"/>
      <c r="G16" s="8"/>
      <c r="H16" s="8"/>
      <c r="I16" s="8"/>
    </row>
    <row r="17" spans="1:9" x14ac:dyDescent="0.45">
      <c r="A17" s="8"/>
      <c r="B17" s="8"/>
      <c r="C17" s="8"/>
      <c r="D17" s="8"/>
      <c r="E17" s="8"/>
      <c r="F17" s="8"/>
      <c r="G17" s="8"/>
      <c r="H17" s="8"/>
      <c r="I17" s="8"/>
    </row>
    <row r="18" spans="1:9" x14ac:dyDescent="0.45">
      <c r="A18" s="8"/>
      <c r="B18" s="8"/>
      <c r="C18" s="8"/>
      <c r="D18" s="8"/>
      <c r="E18" s="8"/>
      <c r="F18" s="8"/>
      <c r="G18" s="8"/>
      <c r="H18" s="8"/>
      <c r="I18" s="8"/>
    </row>
    <row r="19" spans="1:9" x14ac:dyDescent="0.45">
      <c r="A19" s="8"/>
      <c r="B19" s="8"/>
      <c r="C19" s="8"/>
      <c r="D19" s="8"/>
      <c r="E19" s="8"/>
      <c r="F19" s="8"/>
      <c r="G19" s="8"/>
      <c r="H19" s="8"/>
      <c r="I19" s="8"/>
    </row>
    <row r="20" spans="1:9" x14ac:dyDescent="0.45">
      <c r="A20" s="8"/>
      <c r="B20" s="8"/>
      <c r="C20" s="8"/>
      <c r="D20" s="8"/>
      <c r="E20" s="8"/>
      <c r="F20" s="8"/>
      <c r="G20" s="8"/>
      <c r="H20" s="8"/>
      <c r="I20" s="8"/>
    </row>
    <row r="21" spans="1:9" x14ac:dyDescent="0.45">
      <c r="A21" s="8"/>
      <c r="B21" s="8"/>
      <c r="C21" s="8"/>
      <c r="D21" s="8"/>
      <c r="E21" s="8"/>
      <c r="F21" s="8"/>
      <c r="G21" s="8"/>
      <c r="H21" s="8"/>
      <c r="I21" s="8"/>
    </row>
    <row r="22" spans="1:9" x14ac:dyDescent="0.45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45">
      <c r="A23" s="8"/>
      <c r="B23" s="8"/>
      <c r="C23" s="8"/>
      <c r="D23" s="8"/>
      <c r="E23" s="8"/>
      <c r="F23" s="8"/>
      <c r="G23" s="8"/>
      <c r="H23" s="8"/>
      <c r="I23" s="8"/>
    </row>
    <row r="24" spans="1:9" x14ac:dyDescent="0.45">
      <c r="A24" s="8"/>
      <c r="B24" s="8"/>
      <c r="C24" s="8"/>
      <c r="D24" s="8"/>
      <c r="E24" s="8"/>
      <c r="F24" s="8"/>
      <c r="G24" s="8"/>
      <c r="H24" s="8"/>
      <c r="I24" s="8"/>
    </row>
    <row r="25" spans="1:9" x14ac:dyDescent="0.45">
      <c r="A25" s="8"/>
      <c r="B25" s="8"/>
      <c r="C25" s="8"/>
      <c r="D25" s="8"/>
      <c r="E25" s="8"/>
      <c r="F25" s="8"/>
      <c r="G25" s="8"/>
      <c r="H25" s="8"/>
      <c r="I25" s="8"/>
    </row>
    <row r="26" spans="1:9" x14ac:dyDescent="0.45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45">
      <c r="A27" s="8"/>
      <c r="B27" s="8"/>
      <c r="C27" s="8"/>
      <c r="D27" s="8"/>
      <c r="E27" s="8"/>
      <c r="F27" s="8"/>
      <c r="G27" s="8"/>
      <c r="H27" s="8"/>
      <c r="I27" s="8"/>
    </row>
    <row r="28" spans="1:9" x14ac:dyDescent="0.45">
      <c r="A28" s="8"/>
      <c r="B28" s="8"/>
      <c r="C28" s="8"/>
      <c r="D28" s="8"/>
      <c r="E28" s="8"/>
      <c r="F28" s="8"/>
      <c r="G28" s="8"/>
      <c r="H28" s="8"/>
      <c r="I28" s="8"/>
    </row>
    <row r="29" spans="1:9" x14ac:dyDescent="0.45">
      <c r="A29" s="8"/>
      <c r="B29" s="8"/>
      <c r="C29" s="8"/>
      <c r="D29" s="8"/>
      <c r="E29" s="8"/>
      <c r="F29" s="8"/>
      <c r="G29" s="8"/>
      <c r="H29" s="8"/>
      <c r="I29" s="8"/>
    </row>
    <row r="30" spans="1:9" x14ac:dyDescent="0.45">
      <c r="A30" s="8"/>
      <c r="B30" s="8"/>
      <c r="C30" s="8"/>
      <c r="D30" s="8"/>
      <c r="E30" s="8"/>
      <c r="F30" s="8"/>
      <c r="G30" s="8"/>
      <c r="H30" s="8"/>
      <c r="I30" s="8"/>
    </row>
    <row r="31" spans="1:9" x14ac:dyDescent="0.45">
      <c r="A31" s="8"/>
      <c r="B31" s="8"/>
      <c r="C31" s="8"/>
      <c r="D31" s="8"/>
      <c r="E31" s="8"/>
      <c r="F31" s="8"/>
      <c r="G31" s="8"/>
      <c r="H31" s="8"/>
      <c r="I31" s="8"/>
    </row>
    <row r="32" spans="1:9" x14ac:dyDescent="0.45">
      <c r="A32" s="8"/>
      <c r="B32" s="8"/>
      <c r="C32" s="8"/>
      <c r="D32" s="8"/>
      <c r="E32" s="8"/>
      <c r="F32" s="8"/>
      <c r="G32" s="8"/>
      <c r="H32" s="8"/>
      <c r="I32" s="8"/>
    </row>
    <row r="33" spans="1:9" x14ac:dyDescent="0.45">
      <c r="A33" s="8"/>
      <c r="B33" s="8"/>
      <c r="C33" s="8"/>
      <c r="D33" s="8"/>
      <c r="E33" s="8"/>
      <c r="F33" s="8"/>
      <c r="G33" s="8"/>
      <c r="H33" s="8"/>
      <c r="I33" s="8"/>
    </row>
    <row r="34" spans="1:9" x14ac:dyDescent="0.45">
      <c r="A34" s="8"/>
      <c r="B34" s="8"/>
      <c r="C34" s="8"/>
      <c r="D34" s="8"/>
      <c r="E34" s="8"/>
      <c r="F34" s="8"/>
      <c r="G34" s="8"/>
      <c r="H34" s="8"/>
      <c r="I34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3C48-2CE3-48C0-9074-5E76422FA4E1}">
  <dimension ref="A1"/>
  <sheetViews>
    <sheetView workbookViewId="0">
      <selection activeCell="A2" sqref="A2"/>
    </sheetView>
  </sheetViews>
  <sheetFormatPr defaultRowHeight="15.9" x14ac:dyDescent="0.45"/>
  <sheetData>
    <row r="1" spans="1:1" x14ac:dyDescent="0.45">
      <c r="A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23CB-1BCF-4A3D-9447-0EFE230A5920}">
  <dimension ref="A5:L33"/>
  <sheetViews>
    <sheetView workbookViewId="0">
      <selection activeCell="A6" sqref="A6:A7"/>
    </sheetView>
  </sheetViews>
  <sheetFormatPr defaultRowHeight="15.9" x14ac:dyDescent="0.45"/>
  <cols>
    <col min="2" max="2" width="28.5703125" bestFit="1" customWidth="1"/>
  </cols>
  <sheetData>
    <row r="5" spans="1:12" ht="13" customHeight="1" thickBot="1" x14ac:dyDescent="0.5">
      <c r="A5" s="10" t="s">
        <v>104</v>
      </c>
      <c r="B5" s="10" t="s">
        <v>126</v>
      </c>
      <c r="C5" s="20" t="s">
        <v>127</v>
      </c>
      <c r="D5" s="20" t="s">
        <v>1</v>
      </c>
      <c r="E5" s="20" t="s">
        <v>128</v>
      </c>
      <c r="F5" s="20" t="s">
        <v>129</v>
      </c>
      <c r="G5" s="20" t="s">
        <v>130</v>
      </c>
      <c r="H5" s="20" t="s">
        <v>105</v>
      </c>
      <c r="I5" s="20" t="s">
        <v>75</v>
      </c>
      <c r="J5" s="8"/>
      <c r="K5" s="7"/>
      <c r="L5" s="8"/>
    </row>
    <row r="6" spans="1:12" ht="16.3" thickTop="1" x14ac:dyDescent="0.45">
      <c r="A6" s="8" t="s">
        <v>133</v>
      </c>
      <c r="B6" t="s">
        <v>132</v>
      </c>
      <c r="C6" s="8">
        <v>15</v>
      </c>
      <c r="D6" s="8" t="s">
        <v>91</v>
      </c>
      <c r="E6" s="8">
        <v>126</v>
      </c>
      <c r="F6" s="8">
        <f>E6*C6</f>
        <v>1890</v>
      </c>
      <c r="G6" s="8"/>
      <c r="H6" s="8"/>
      <c r="I6" s="8"/>
    </row>
    <row r="7" spans="1:12" x14ac:dyDescent="0.45">
      <c r="A7" s="8" t="s">
        <v>133</v>
      </c>
      <c r="B7" t="s">
        <v>131</v>
      </c>
      <c r="C7" s="8">
        <v>1</v>
      </c>
      <c r="D7" s="8" t="s">
        <v>91</v>
      </c>
      <c r="E7" s="8">
        <v>107.68</v>
      </c>
      <c r="F7" s="8"/>
      <c r="G7" s="8"/>
      <c r="H7" s="8"/>
      <c r="I7" s="8"/>
    </row>
    <row r="8" spans="1:12" x14ac:dyDescent="0.45">
      <c r="A8" s="8"/>
      <c r="B8" s="8"/>
      <c r="C8" s="8"/>
      <c r="D8" s="8"/>
      <c r="E8" s="8"/>
      <c r="F8" s="8"/>
      <c r="G8" s="8"/>
      <c r="H8" s="8"/>
      <c r="I8" s="8"/>
    </row>
    <row r="9" spans="1:12" x14ac:dyDescent="0.45">
      <c r="A9" s="8"/>
      <c r="B9" s="8"/>
      <c r="C9" s="8"/>
      <c r="D9" s="8"/>
      <c r="E9" s="8"/>
      <c r="F9" s="8"/>
      <c r="G9" s="8"/>
      <c r="H9" s="8"/>
      <c r="I9" s="8"/>
    </row>
    <row r="10" spans="1:12" x14ac:dyDescent="0.45">
      <c r="A10" s="8"/>
      <c r="B10" s="8"/>
      <c r="C10" s="8"/>
      <c r="D10" s="8"/>
      <c r="E10" s="8"/>
      <c r="F10" s="8"/>
      <c r="G10" s="8"/>
      <c r="H10" s="8"/>
      <c r="I10" s="8"/>
    </row>
    <row r="11" spans="1:12" x14ac:dyDescent="0.45">
      <c r="A11" s="8"/>
      <c r="B11" s="8"/>
      <c r="C11" s="8"/>
      <c r="D11" s="8"/>
      <c r="E11" s="8"/>
      <c r="F11" s="8"/>
      <c r="G11" s="8"/>
      <c r="H11" s="8"/>
      <c r="I11" s="8"/>
    </row>
    <row r="12" spans="1:12" x14ac:dyDescent="0.45">
      <c r="A12" s="8"/>
      <c r="B12" s="8"/>
      <c r="C12" s="8"/>
      <c r="D12" s="8"/>
      <c r="E12" s="8"/>
      <c r="F12" s="8"/>
      <c r="G12" s="8"/>
      <c r="H12" s="8"/>
      <c r="I12" s="8"/>
    </row>
    <row r="13" spans="1:12" x14ac:dyDescent="0.45">
      <c r="A13" s="8"/>
      <c r="B13" s="8"/>
      <c r="C13" s="8"/>
      <c r="D13" s="8"/>
      <c r="E13" s="8"/>
      <c r="F13" s="8"/>
      <c r="G13" s="8"/>
      <c r="H13" s="8"/>
      <c r="I13" s="8"/>
    </row>
    <row r="14" spans="1:12" x14ac:dyDescent="0.45">
      <c r="A14" s="8"/>
      <c r="B14" s="8"/>
      <c r="C14" s="8"/>
      <c r="D14" s="8"/>
      <c r="E14" s="8"/>
      <c r="F14" s="8"/>
      <c r="G14" s="8"/>
      <c r="H14" s="8"/>
      <c r="I14" s="8"/>
    </row>
    <row r="15" spans="1:12" x14ac:dyDescent="0.45">
      <c r="A15" s="8"/>
      <c r="B15" s="8"/>
      <c r="C15" s="8"/>
      <c r="D15" s="8"/>
      <c r="E15" s="8"/>
      <c r="F15" s="8"/>
      <c r="G15" s="8"/>
      <c r="H15" s="8"/>
      <c r="I15" s="8"/>
    </row>
    <row r="16" spans="1:12" x14ac:dyDescent="0.45">
      <c r="A16" s="8"/>
      <c r="B16" s="8"/>
      <c r="C16" s="8"/>
      <c r="D16" s="8"/>
      <c r="E16" s="8"/>
      <c r="F16" s="8"/>
      <c r="G16" s="8"/>
      <c r="H16" s="8"/>
      <c r="I16" s="8"/>
    </row>
    <row r="17" spans="1:9" x14ac:dyDescent="0.45">
      <c r="A17" s="8"/>
      <c r="B17" s="8"/>
      <c r="C17" s="8"/>
      <c r="D17" s="8"/>
      <c r="E17" s="8"/>
      <c r="F17" s="8"/>
      <c r="G17" s="8"/>
      <c r="H17" s="8"/>
      <c r="I17" s="8"/>
    </row>
    <row r="18" spans="1:9" x14ac:dyDescent="0.45">
      <c r="A18" s="8"/>
      <c r="B18" s="8"/>
      <c r="C18" s="8"/>
      <c r="D18" s="8"/>
      <c r="E18" s="8"/>
      <c r="F18" s="8"/>
      <c r="G18" s="8"/>
      <c r="H18" s="8"/>
      <c r="I18" s="8"/>
    </row>
    <row r="19" spans="1:9" x14ac:dyDescent="0.45">
      <c r="A19" s="8"/>
      <c r="B19" s="8"/>
      <c r="C19" s="8"/>
      <c r="D19" s="8"/>
      <c r="E19" s="8"/>
      <c r="F19" s="8"/>
      <c r="G19" s="8"/>
      <c r="H19" s="8"/>
      <c r="I19" s="8"/>
    </row>
    <row r="20" spans="1:9" x14ac:dyDescent="0.45">
      <c r="A20" s="8"/>
      <c r="B20" s="8"/>
      <c r="C20" s="8"/>
      <c r="D20" s="8"/>
      <c r="E20" s="8"/>
      <c r="F20" s="8"/>
      <c r="G20" s="8"/>
      <c r="H20" s="8"/>
      <c r="I20" s="8"/>
    </row>
    <row r="21" spans="1:9" x14ac:dyDescent="0.45">
      <c r="A21" s="8"/>
      <c r="B21" s="8"/>
      <c r="C21" s="8"/>
      <c r="D21" s="8"/>
      <c r="E21" s="8"/>
      <c r="F21" s="8"/>
      <c r="G21" s="8"/>
      <c r="H21" s="8"/>
      <c r="I21" s="8"/>
    </row>
    <row r="22" spans="1:9" x14ac:dyDescent="0.45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45">
      <c r="A23" s="8"/>
      <c r="B23" s="8"/>
      <c r="C23" s="8"/>
      <c r="D23" s="8"/>
      <c r="E23" s="8"/>
      <c r="F23" s="8"/>
      <c r="G23" s="8"/>
      <c r="H23" s="8"/>
      <c r="I23" s="8"/>
    </row>
    <row r="24" spans="1:9" x14ac:dyDescent="0.45">
      <c r="A24" s="8"/>
      <c r="B24" s="8"/>
      <c r="C24" s="8"/>
      <c r="D24" s="8"/>
      <c r="E24" s="8"/>
      <c r="F24" s="8"/>
      <c r="G24" s="8"/>
      <c r="H24" s="8"/>
      <c r="I24" s="8"/>
    </row>
    <row r="25" spans="1:9" x14ac:dyDescent="0.45">
      <c r="A25" s="8"/>
      <c r="B25" s="8"/>
      <c r="C25" s="8"/>
      <c r="D25" s="8"/>
      <c r="E25" s="8"/>
      <c r="F25" s="8"/>
      <c r="G25" s="8"/>
      <c r="H25" s="8"/>
      <c r="I25" s="8"/>
    </row>
    <row r="26" spans="1:9" x14ac:dyDescent="0.45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45">
      <c r="A27" s="8"/>
      <c r="B27" s="8"/>
      <c r="C27" s="8"/>
      <c r="D27" s="8"/>
      <c r="E27" s="8"/>
      <c r="F27" s="8"/>
      <c r="G27" s="8"/>
      <c r="H27" s="8"/>
      <c r="I27" s="8"/>
    </row>
    <row r="28" spans="1:9" x14ac:dyDescent="0.45">
      <c r="A28" s="8"/>
      <c r="B28" s="8"/>
      <c r="C28" s="8"/>
      <c r="D28" s="8"/>
      <c r="E28" s="8"/>
      <c r="F28" s="8"/>
      <c r="G28" s="8"/>
      <c r="H28" s="8"/>
      <c r="I28" s="8"/>
    </row>
    <row r="29" spans="1:9" x14ac:dyDescent="0.45">
      <c r="A29" s="8"/>
      <c r="B29" s="8"/>
      <c r="C29" s="8"/>
      <c r="D29" s="8"/>
      <c r="E29" s="8"/>
      <c r="F29" s="8"/>
      <c r="G29" s="8"/>
      <c r="H29" s="8"/>
      <c r="I29" s="8"/>
    </row>
    <row r="30" spans="1:9" x14ac:dyDescent="0.45">
      <c r="A30" s="8"/>
      <c r="B30" s="8"/>
      <c r="C30" s="8"/>
      <c r="D30" s="8"/>
      <c r="E30" s="8"/>
      <c r="F30" s="8"/>
      <c r="G30" s="8"/>
      <c r="H30" s="8"/>
      <c r="I30" s="8"/>
    </row>
    <row r="31" spans="1:9" x14ac:dyDescent="0.45">
      <c r="A31" s="8"/>
      <c r="B31" s="8"/>
      <c r="C31" s="8"/>
      <c r="D31" s="8"/>
      <c r="E31" s="8"/>
      <c r="F31" s="8"/>
      <c r="G31" s="8"/>
      <c r="H31" s="8"/>
      <c r="I31" s="8"/>
    </row>
    <row r="32" spans="1:9" x14ac:dyDescent="0.45">
      <c r="A32" s="8"/>
      <c r="B32" s="8"/>
      <c r="C32" s="8"/>
      <c r="D32" s="8"/>
      <c r="E32" s="8"/>
      <c r="F32" s="8"/>
      <c r="G32" s="8"/>
      <c r="H32" s="8"/>
      <c r="I32" s="8"/>
    </row>
    <row r="33" spans="1:9" x14ac:dyDescent="0.45">
      <c r="A33" s="8"/>
      <c r="B33" s="8"/>
      <c r="C33" s="8"/>
      <c r="D33" s="8"/>
      <c r="E33" s="8"/>
      <c r="F33" s="8"/>
      <c r="G33" s="8"/>
      <c r="H33" s="8"/>
      <c r="I33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26DB-3497-44EA-86FA-FB305E376BA4}">
  <dimension ref="A5:L36"/>
  <sheetViews>
    <sheetView topLeftCell="A2" workbookViewId="0">
      <selection activeCell="A7" sqref="A7"/>
    </sheetView>
  </sheetViews>
  <sheetFormatPr defaultRowHeight="15.9" x14ac:dyDescent="0.45"/>
  <sheetData>
    <row r="5" spans="1:12" ht="13" customHeight="1" thickBot="1" x14ac:dyDescent="0.5">
      <c r="A5" s="10" t="s">
        <v>120</v>
      </c>
      <c r="B5" s="10" t="s">
        <v>0</v>
      </c>
      <c r="C5" s="20" t="s">
        <v>121</v>
      </c>
      <c r="D5" s="20" t="s">
        <v>1</v>
      </c>
      <c r="E5" s="20" t="s">
        <v>3</v>
      </c>
      <c r="F5" s="20" t="s">
        <v>2</v>
      </c>
      <c r="G5" s="20" t="s">
        <v>106</v>
      </c>
      <c r="H5" s="20" t="s">
        <v>105</v>
      </c>
      <c r="I5" s="20" t="s">
        <v>75</v>
      </c>
      <c r="J5" s="8"/>
      <c r="K5" s="7"/>
      <c r="L5" s="8"/>
    </row>
    <row r="6" spans="1:12" ht="16.3" thickTop="1" x14ac:dyDescent="0.45">
      <c r="A6" s="8"/>
      <c r="B6" s="8"/>
      <c r="C6" s="8"/>
      <c r="D6" s="8"/>
      <c r="E6" s="8"/>
      <c r="F6" s="8"/>
      <c r="G6" s="8"/>
      <c r="H6" s="8"/>
      <c r="I6" s="8"/>
    </row>
    <row r="7" spans="1:12" x14ac:dyDescent="0.45">
      <c r="A7" s="8"/>
      <c r="B7" s="8"/>
      <c r="C7" s="8"/>
      <c r="D7" s="8"/>
      <c r="E7" s="8"/>
      <c r="F7" s="8"/>
      <c r="G7" s="8"/>
      <c r="H7" s="8"/>
      <c r="I7" s="8"/>
    </row>
    <row r="8" spans="1:12" x14ac:dyDescent="0.45">
      <c r="A8" s="8"/>
      <c r="B8" s="8"/>
      <c r="C8" s="8"/>
      <c r="D8" s="8"/>
      <c r="E8" s="8"/>
      <c r="F8" s="8"/>
      <c r="G8" s="8"/>
      <c r="H8" s="8"/>
      <c r="I8" s="8"/>
    </row>
    <row r="9" spans="1:12" x14ac:dyDescent="0.45">
      <c r="A9" s="8"/>
      <c r="B9" s="8"/>
      <c r="C9" s="8"/>
      <c r="D9" s="8"/>
      <c r="E9" s="8"/>
      <c r="F9" s="8"/>
      <c r="G9" s="8"/>
      <c r="H9" s="8"/>
      <c r="I9" s="8"/>
    </row>
    <row r="10" spans="1:12" x14ac:dyDescent="0.45">
      <c r="A10" s="8"/>
      <c r="B10" s="8"/>
      <c r="C10" s="8"/>
      <c r="D10" s="8"/>
      <c r="E10" s="8"/>
      <c r="F10" s="8"/>
      <c r="G10" s="8"/>
      <c r="H10" s="8"/>
      <c r="I10" s="8"/>
    </row>
    <row r="11" spans="1:12" x14ac:dyDescent="0.45">
      <c r="A11" s="8"/>
      <c r="B11" s="8"/>
      <c r="C11" s="8"/>
      <c r="D11" s="8"/>
      <c r="E11" s="8"/>
      <c r="F11" s="8"/>
      <c r="G11" s="8"/>
      <c r="H11" s="8"/>
      <c r="I11" s="8"/>
    </row>
    <row r="12" spans="1:12" x14ac:dyDescent="0.45">
      <c r="A12" s="8"/>
      <c r="B12" s="8"/>
      <c r="C12" s="8"/>
      <c r="D12" s="8"/>
      <c r="E12" s="8"/>
      <c r="F12" s="8"/>
      <c r="G12" s="8"/>
      <c r="H12" s="8"/>
      <c r="I12" s="8"/>
    </row>
    <row r="13" spans="1:12" x14ac:dyDescent="0.45">
      <c r="A13" s="8"/>
      <c r="B13" s="8"/>
      <c r="C13" s="8"/>
      <c r="D13" s="8"/>
      <c r="E13" s="8"/>
      <c r="F13" s="8"/>
      <c r="G13" s="8"/>
      <c r="H13" s="8"/>
      <c r="I13" s="8"/>
    </row>
    <row r="14" spans="1:12" x14ac:dyDescent="0.45">
      <c r="A14" s="8"/>
      <c r="B14" s="8"/>
      <c r="C14" s="8"/>
      <c r="D14" s="8"/>
      <c r="E14" s="8"/>
      <c r="F14" s="8"/>
      <c r="G14" s="8"/>
      <c r="H14" s="8"/>
      <c r="I14" s="8"/>
    </row>
    <row r="15" spans="1:12" x14ac:dyDescent="0.45">
      <c r="A15" s="8"/>
      <c r="B15" s="8"/>
      <c r="C15" s="8"/>
      <c r="D15" s="8"/>
      <c r="E15" s="8"/>
      <c r="F15" s="8"/>
      <c r="G15" s="8"/>
      <c r="H15" s="8"/>
      <c r="I15" s="8"/>
    </row>
    <row r="16" spans="1:12" x14ac:dyDescent="0.45">
      <c r="A16" s="8"/>
      <c r="B16" s="8"/>
      <c r="C16" s="8"/>
      <c r="D16" s="8"/>
      <c r="E16" s="8"/>
      <c r="F16" s="8"/>
      <c r="G16" s="8"/>
      <c r="H16" s="8"/>
      <c r="I16" s="8"/>
    </row>
    <row r="17" spans="1:9" x14ac:dyDescent="0.45">
      <c r="A17" s="8"/>
      <c r="B17" s="8"/>
      <c r="C17" s="8"/>
      <c r="D17" s="8"/>
      <c r="E17" s="8"/>
      <c r="F17" s="8"/>
      <c r="G17" s="8"/>
      <c r="H17" s="8"/>
      <c r="I17" s="8"/>
    </row>
    <row r="18" spans="1:9" x14ac:dyDescent="0.45">
      <c r="A18" s="8"/>
      <c r="B18" s="8"/>
      <c r="C18" s="8"/>
      <c r="D18" s="8"/>
      <c r="E18" s="8"/>
      <c r="F18" s="8"/>
      <c r="G18" s="8"/>
      <c r="H18" s="8"/>
      <c r="I18" s="8"/>
    </row>
    <row r="19" spans="1:9" x14ac:dyDescent="0.45">
      <c r="A19" s="8"/>
      <c r="B19" s="8"/>
      <c r="C19" s="8"/>
      <c r="D19" s="8"/>
      <c r="E19" s="8"/>
      <c r="F19" s="8"/>
      <c r="G19" s="8"/>
      <c r="H19" s="8"/>
      <c r="I19" s="8"/>
    </row>
    <row r="20" spans="1:9" x14ac:dyDescent="0.45">
      <c r="A20" s="8"/>
      <c r="B20" s="8"/>
      <c r="C20" s="8"/>
      <c r="D20" s="8"/>
      <c r="E20" s="8"/>
      <c r="F20" s="8"/>
      <c r="G20" s="8"/>
      <c r="H20" s="8"/>
      <c r="I20" s="8"/>
    </row>
    <row r="21" spans="1:9" x14ac:dyDescent="0.45">
      <c r="A21" s="8"/>
      <c r="B21" s="8"/>
      <c r="C21" s="8"/>
      <c r="D21" s="8"/>
      <c r="E21" s="8"/>
      <c r="F21" s="8"/>
      <c r="G21" s="8"/>
      <c r="H21" s="8"/>
      <c r="I21" s="8"/>
    </row>
    <row r="22" spans="1:9" x14ac:dyDescent="0.45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45">
      <c r="A23" s="8"/>
      <c r="B23" s="8"/>
      <c r="C23" s="8"/>
      <c r="D23" s="8"/>
      <c r="E23" s="8"/>
      <c r="F23" s="8"/>
      <c r="G23" s="8"/>
      <c r="H23" s="8"/>
      <c r="I23" s="8"/>
    </row>
    <row r="24" spans="1:9" x14ac:dyDescent="0.45">
      <c r="A24" s="8"/>
      <c r="B24" s="8"/>
      <c r="C24" s="8"/>
      <c r="D24" s="8"/>
      <c r="E24" s="8"/>
      <c r="F24" s="8"/>
      <c r="G24" s="8"/>
      <c r="H24" s="8"/>
      <c r="I24" s="8"/>
    </row>
    <row r="25" spans="1:9" x14ac:dyDescent="0.45">
      <c r="A25" s="8"/>
      <c r="B25" s="8"/>
      <c r="C25" s="8"/>
      <c r="D25" s="8"/>
      <c r="E25" s="8"/>
      <c r="F25" s="8"/>
      <c r="G25" s="8"/>
      <c r="H25" s="8"/>
      <c r="I25" s="8"/>
    </row>
    <row r="26" spans="1:9" x14ac:dyDescent="0.45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45">
      <c r="A27" s="8"/>
      <c r="B27" s="8"/>
      <c r="C27" s="8"/>
      <c r="D27" s="8"/>
      <c r="E27" s="8"/>
      <c r="F27" s="8"/>
      <c r="G27" s="8"/>
      <c r="H27" s="8"/>
      <c r="I27" s="8"/>
    </row>
    <row r="28" spans="1:9" x14ac:dyDescent="0.45">
      <c r="A28" s="8"/>
      <c r="B28" s="8"/>
      <c r="C28" s="8"/>
      <c r="D28" s="8"/>
      <c r="E28" s="8"/>
      <c r="F28" s="8"/>
      <c r="G28" s="8"/>
      <c r="H28" s="8"/>
      <c r="I28" s="8"/>
    </row>
    <row r="29" spans="1:9" x14ac:dyDescent="0.45">
      <c r="A29" s="8"/>
      <c r="B29" s="8"/>
      <c r="C29" s="8"/>
      <c r="D29" s="8"/>
      <c r="E29" s="8"/>
      <c r="F29" s="8"/>
      <c r="G29" s="8"/>
      <c r="H29" s="8"/>
      <c r="I29" s="8"/>
    </row>
    <row r="30" spans="1:9" x14ac:dyDescent="0.45">
      <c r="A30" s="8"/>
      <c r="B30" s="8"/>
      <c r="C30" s="8"/>
      <c r="D30" s="8"/>
      <c r="E30" s="8"/>
      <c r="F30" s="8"/>
      <c r="G30" s="8"/>
      <c r="H30" s="8"/>
      <c r="I30" s="8"/>
    </row>
    <row r="31" spans="1:9" x14ac:dyDescent="0.45">
      <c r="A31" s="8"/>
      <c r="B31" s="8"/>
      <c r="C31" s="8"/>
      <c r="D31" s="8"/>
      <c r="E31" s="8"/>
      <c r="F31" s="8"/>
      <c r="G31" s="8"/>
      <c r="H31" s="8"/>
      <c r="I31" s="8"/>
    </row>
    <row r="32" spans="1:9" x14ac:dyDescent="0.45">
      <c r="A32" s="8"/>
      <c r="B32" s="8"/>
      <c r="C32" s="8"/>
      <c r="D32" s="8"/>
      <c r="E32" s="8"/>
      <c r="F32" s="8"/>
      <c r="G32" s="8"/>
      <c r="H32" s="8"/>
      <c r="I32" s="8"/>
    </row>
    <row r="33" spans="1:9" x14ac:dyDescent="0.45">
      <c r="A33" s="8"/>
      <c r="B33" s="8"/>
      <c r="C33" s="8"/>
      <c r="D33" s="8"/>
      <c r="E33" s="8"/>
      <c r="F33" s="8"/>
      <c r="G33" s="8"/>
      <c r="H33" s="8"/>
      <c r="I33" s="8"/>
    </row>
    <row r="34" spans="1:9" x14ac:dyDescent="0.45">
      <c r="A34" s="8"/>
      <c r="B34" s="8"/>
      <c r="C34" s="8"/>
      <c r="D34" s="8"/>
      <c r="E34" s="8"/>
      <c r="F34" s="8"/>
      <c r="G34" s="8"/>
      <c r="H34" s="8"/>
      <c r="I34" s="8"/>
    </row>
    <row r="35" spans="1:9" x14ac:dyDescent="0.45">
      <c r="A35" s="8"/>
      <c r="B35" s="8"/>
      <c r="C35" s="8"/>
      <c r="D35" s="8"/>
      <c r="E35" s="8"/>
      <c r="F35" s="8"/>
      <c r="G35" s="8"/>
      <c r="H35" s="8"/>
      <c r="I35" s="8"/>
    </row>
    <row r="36" spans="1:9" x14ac:dyDescent="0.45">
      <c r="A36" s="8"/>
      <c r="B36" s="8"/>
      <c r="C36" s="8"/>
      <c r="D36" s="8"/>
      <c r="E36" s="8"/>
      <c r="F36" s="8"/>
      <c r="G36" s="8"/>
      <c r="H36" s="8"/>
      <c r="I3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30</vt:i4>
      </vt:variant>
    </vt:vector>
  </HeadingPairs>
  <TitlesOfParts>
    <vt:vector size="38" baseType="lpstr">
      <vt:lpstr>Stomme</vt:lpstr>
      <vt:lpstr>Tidskalkyl</vt:lpstr>
      <vt:lpstr>Plocklista</vt:lpstr>
      <vt:lpstr>Sheet1</vt:lpstr>
      <vt:lpstr>Tidrapport</vt:lpstr>
      <vt:lpstr>Prislista</vt:lpstr>
      <vt:lpstr>Fakturor</vt:lpstr>
      <vt:lpstr>Uppföljning</vt:lpstr>
      <vt:lpstr>antalTakåsar</vt:lpstr>
      <vt:lpstr>areaGavelspetsar</vt:lpstr>
      <vt:lpstr>areaTakåsar</vt:lpstr>
      <vt:lpstr>areaVäggliv</vt:lpstr>
      <vt:lpstr>bredd</vt:lpstr>
      <vt:lpstr>innerArea</vt:lpstr>
      <vt:lpstr>inpBredd</vt:lpstr>
      <vt:lpstr>inpLängd</vt:lpstr>
      <vt:lpstr>inpTakvinkel</vt:lpstr>
      <vt:lpstr>inpTjocklek</vt:lpstr>
      <vt:lpstr>inpVinkel</vt:lpstr>
      <vt:lpstr>inpVägglivsHöjd</vt:lpstr>
      <vt:lpstr>invVäggArea</vt:lpstr>
      <vt:lpstr>knutUtstick</vt:lpstr>
      <vt:lpstr>längd</vt:lpstr>
      <vt:lpstr>längdGolvregel</vt:lpstr>
      <vt:lpstr>spillfaktor</vt:lpstr>
      <vt:lpstr>takArea</vt:lpstr>
      <vt:lpstr>takbredd</vt:lpstr>
      <vt:lpstr>takfall</vt:lpstr>
      <vt:lpstr>takspill</vt:lpstr>
      <vt:lpstr>takUtstick</vt:lpstr>
      <vt:lpstr>takVinkel</vt:lpstr>
      <vt:lpstr>TimmerHöjd</vt:lpstr>
      <vt:lpstr>TimmerTjocklek</vt:lpstr>
      <vt:lpstr>totBredd</vt:lpstr>
      <vt:lpstr>totLängd</vt:lpstr>
      <vt:lpstr>totVäggarea</vt:lpstr>
      <vt:lpstr>tTjk</vt:lpstr>
      <vt:lpstr>vägglivshöjd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wagenius</dc:creator>
  <cp:lastModifiedBy>roger wagenius</cp:lastModifiedBy>
  <cp:lastPrinted>2025-06-28T20:54:15Z</cp:lastPrinted>
  <dcterms:created xsi:type="dcterms:W3CDTF">2025-01-11T10:47:10Z</dcterms:created>
  <dcterms:modified xsi:type="dcterms:W3CDTF">2025-09-06T17:58:49Z</dcterms:modified>
</cp:coreProperties>
</file>